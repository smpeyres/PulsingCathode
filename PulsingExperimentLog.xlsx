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pey\Documents\PulsingCathode\"/>
    </mc:Choice>
  </mc:AlternateContent>
  <xr:revisionPtr revIDLastSave="0" documentId="13_ncr:1_{25E95350-719A-4AD9-B75A-655C688837DE}" xr6:coauthVersionLast="47" xr6:coauthVersionMax="47" xr10:uidLastSave="{00000000-0000-0000-0000-000000000000}"/>
  <bookViews>
    <workbookView xWindow="-27645" yWindow="435" windowWidth="27465" windowHeight="14430" xr2:uid="{8BCD2DD3-F1F7-4168-AF82-11D2697BEE42}"/>
  </bookViews>
  <sheets>
    <sheet name="new, 50 mM, Ar" sheetId="7" r:id="rId1"/>
    <sheet name="Optical + Electrical, 20 mM" sheetId="5" r:id="rId2"/>
    <sheet name="Maybe 50 mM EG  " sheetId="6" r:id="rId3"/>
    <sheet name="Optical + Electrical, 50 mM" sheetId="4" r:id="rId4"/>
    <sheet name="DC, Membrane - Ar" sheetId="2" r:id="rId5"/>
    <sheet name="DC, Membrane - He" sheetId="3" r:id="rId6"/>
    <sheet name="OLD Pulsing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8" i="4" l="1"/>
  <c r="X48" i="4" s="1"/>
  <c r="W49" i="4"/>
  <c r="X49" i="4"/>
  <c r="W50" i="4"/>
  <c r="X50" i="4"/>
  <c r="W51" i="4"/>
  <c r="X51" i="4" s="1"/>
  <c r="W52" i="4"/>
  <c r="X52" i="4" s="1"/>
  <c r="W53" i="4"/>
  <c r="X53" i="4" s="1"/>
  <c r="W54" i="4"/>
  <c r="X54" i="4"/>
  <c r="W55" i="4"/>
  <c r="X55" i="4"/>
  <c r="W56" i="4"/>
  <c r="X56" i="4"/>
  <c r="V48" i="4"/>
  <c r="V49" i="4"/>
  <c r="V50" i="4"/>
  <c r="V51" i="4"/>
  <c r="V52" i="4"/>
  <c r="V53" i="4"/>
  <c r="V54" i="4"/>
  <c r="V55" i="4"/>
  <c r="V56" i="4"/>
  <c r="U48" i="4"/>
  <c r="U49" i="4"/>
  <c r="U50" i="4"/>
  <c r="U51" i="4"/>
  <c r="U52" i="4"/>
  <c r="U53" i="4"/>
  <c r="U54" i="4"/>
  <c r="U55" i="4"/>
  <c r="U56" i="4"/>
  <c r="T48" i="4"/>
  <c r="T49" i="4"/>
  <c r="T50" i="4"/>
  <c r="T51" i="4"/>
  <c r="T52" i="4"/>
  <c r="T53" i="4"/>
  <c r="T54" i="4"/>
  <c r="T55" i="4"/>
  <c r="T56" i="4"/>
  <c r="L54" i="4"/>
  <c r="L55" i="4"/>
  <c r="L56" i="4"/>
  <c r="F54" i="4"/>
  <c r="F55" i="4"/>
  <c r="F56" i="4"/>
  <c r="F53" i="4"/>
  <c r="L53" i="4"/>
  <c r="F52" i="4"/>
  <c r="L52" i="4"/>
  <c r="F51" i="4"/>
  <c r="L51" i="4"/>
  <c r="F50" i="4"/>
  <c r="L50" i="4"/>
  <c r="F49" i="4"/>
  <c r="L49" i="4"/>
  <c r="F48" i="4"/>
  <c r="L48" i="4"/>
  <c r="F47" i="4"/>
  <c r="L47" i="4"/>
  <c r="T47" i="4" s="1"/>
  <c r="F46" i="4"/>
  <c r="L46" i="4"/>
  <c r="T46" i="4" s="1"/>
  <c r="F45" i="4"/>
  <c r="L45" i="4"/>
  <c r="T45" i="4" s="1"/>
  <c r="F44" i="4"/>
  <c r="L44" i="4"/>
  <c r="T44" i="4" s="1"/>
  <c r="F43" i="4"/>
  <c r="L43" i="4"/>
  <c r="T43" i="4" s="1"/>
  <c r="F42" i="4"/>
  <c r="L42" i="4"/>
  <c r="T42" i="4" s="1"/>
  <c r="F41" i="4"/>
  <c r="L41" i="4"/>
  <c r="T41" i="4" s="1"/>
  <c r="U41" i="4" s="1"/>
  <c r="N48" i="4"/>
  <c r="N49" i="4"/>
  <c r="N50" i="4"/>
  <c r="N51" i="4"/>
  <c r="N52" i="4"/>
  <c r="N53" i="4"/>
  <c r="N54" i="4"/>
  <c r="N55" i="4"/>
  <c r="N56" i="4"/>
  <c r="K56" i="4"/>
  <c r="Y56" i="4"/>
  <c r="K55" i="4"/>
  <c r="Y55" i="4"/>
  <c r="K54" i="4"/>
  <c r="Y54" i="4"/>
  <c r="K53" i="4"/>
  <c r="Y53" i="4"/>
  <c r="K52" i="4"/>
  <c r="Y52" i="4"/>
  <c r="K51" i="4"/>
  <c r="Y51" i="4"/>
  <c r="K50" i="4"/>
  <c r="Y50" i="4"/>
  <c r="K49" i="4"/>
  <c r="Y49" i="4"/>
  <c r="K48" i="4"/>
  <c r="Y48" i="4"/>
  <c r="K47" i="4"/>
  <c r="N47" i="4"/>
  <c r="Y47" i="4"/>
  <c r="K46" i="4"/>
  <c r="N46" i="4"/>
  <c r="Y46" i="4"/>
  <c r="K45" i="4"/>
  <c r="N45" i="4"/>
  <c r="Y45" i="4"/>
  <c r="K44" i="4"/>
  <c r="N44" i="4"/>
  <c r="Y44" i="4"/>
  <c r="K43" i="4"/>
  <c r="N43" i="4"/>
  <c r="Y43" i="4"/>
  <c r="K42" i="4"/>
  <c r="N42" i="4"/>
  <c r="Y42" i="4"/>
  <c r="K41" i="4"/>
  <c r="N41" i="4"/>
  <c r="Y41" i="4"/>
  <c r="T28" i="4"/>
  <c r="U28" i="4" s="1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L29" i="4"/>
  <c r="L30" i="4"/>
  <c r="T30" i="4" s="1"/>
  <c r="U30" i="4" s="1"/>
  <c r="L31" i="4"/>
  <c r="L32" i="4"/>
  <c r="T32" i="4" s="1"/>
  <c r="U32" i="4" s="1"/>
  <c r="L33" i="4"/>
  <c r="T33" i="4" s="1"/>
  <c r="L34" i="4"/>
  <c r="L35" i="4"/>
  <c r="T35" i="4" s="1"/>
  <c r="U35" i="4" s="1"/>
  <c r="L36" i="4"/>
  <c r="T36" i="4" s="1"/>
  <c r="U36" i="4" s="1"/>
  <c r="L37" i="4"/>
  <c r="T37" i="4" s="1"/>
  <c r="U37" i="4" s="1"/>
  <c r="L38" i="4"/>
  <c r="T38" i="4" s="1"/>
  <c r="U38" i="4" s="1"/>
  <c r="L39" i="4"/>
  <c r="T39" i="4" s="1"/>
  <c r="U39" i="4" s="1"/>
  <c r="L40" i="4"/>
  <c r="T40" i="4" s="1"/>
  <c r="U40" i="4" s="1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K40" i="4"/>
  <c r="N40" i="4"/>
  <c r="N39" i="4"/>
  <c r="N38" i="4"/>
  <c r="N37" i="4"/>
  <c r="N36" i="4"/>
  <c r="N35" i="4"/>
  <c r="N34" i="4"/>
  <c r="N33" i="4"/>
  <c r="N32" i="4"/>
  <c r="K31" i="4"/>
  <c r="K32" i="4"/>
  <c r="K33" i="4"/>
  <c r="K34" i="4"/>
  <c r="K35" i="4"/>
  <c r="K36" i="4"/>
  <c r="K37" i="4"/>
  <c r="K38" i="4"/>
  <c r="K39" i="4"/>
  <c r="N31" i="4"/>
  <c r="K30" i="4"/>
  <c r="N30" i="4"/>
  <c r="K29" i="4"/>
  <c r="N29" i="4"/>
  <c r="K28" i="4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" i="6"/>
  <c r="N3" i="6"/>
  <c r="N4" i="6"/>
  <c r="N5" i="6"/>
  <c r="N6" i="6"/>
  <c r="N7" i="6"/>
  <c r="N8" i="6"/>
  <c r="N9" i="6"/>
  <c r="N10" i="6"/>
  <c r="V10" i="6" s="1"/>
  <c r="W10" i="6" s="1"/>
  <c r="N11" i="6"/>
  <c r="N12" i="6"/>
  <c r="N13" i="6"/>
  <c r="N14" i="6"/>
  <c r="N15" i="6"/>
  <c r="N16" i="6"/>
  <c r="N17" i="6"/>
  <c r="N18" i="6"/>
  <c r="N19" i="6"/>
  <c r="N20" i="6"/>
  <c r="N21" i="6"/>
  <c r="N22" i="6"/>
  <c r="V22" i="6" s="1"/>
  <c r="W22" i="6" s="1"/>
  <c r="N23" i="6"/>
  <c r="N24" i="6"/>
  <c r="N25" i="6"/>
  <c r="N26" i="6"/>
  <c r="N27" i="6"/>
  <c r="N2" i="6"/>
  <c r="AA27" i="6"/>
  <c r="V27" i="6"/>
  <c r="W27" i="6" s="1"/>
  <c r="P27" i="6"/>
  <c r="Y27" i="6"/>
  <c r="Z27" i="6" s="1"/>
  <c r="M27" i="6"/>
  <c r="H27" i="6"/>
  <c r="AA26" i="6"/>
  <c r="P26" i="6"/>
  <c r="V26" i="6"/>
  <c r="W26" i="6" s="1"/>
  <c r="M26" i="6"/>
  <c r="H26" i="6"/>
  <c r="AA25" i="6"/>
  <c r="P25" i="6"/>
  <c r="M25" i="6"/>
  <c r="H25" i="6"/>
  <c r="AA24" i="6"/>
  <c r="P24" i="6"/>
  <c r="M24" i="6"/>
  <c r="H24" i="6"/>
  <c r="AA23" i="6"/>
  <c r="P23" i="6"/>
  <c r="V23" i="6"/>
  <c r="W23" i="6" s="1"/>
  <c r="M23" i="6"/>
  <c r="H23" i="6"/>
  <c r="AA22" i="6"/>
  <c r="P22" i="6"/>
  <c r="M22" i="6"/>
  <c r="H22" i="6"/>
  <c r="AA21" i="6"/>
  <c r="P21" i="6"/>
  <c r="M21" i="6"/>
  <c r="H21" i="6"/>
  <c r="AA20" i="6"/>
  <c r="W20" i="6"/>
  <c r="P20" i="6"/>
  <c r="M20" i="6"/>
  <c r="AA19" i="6"/>
  <c r="P19" i="6"/>
  <c r="M19" i="6"/>
  <c r="H19" i="6"/>
  <c r="AA18" i="6"/>
  <c r="P18" i="6"/>
  <c r="M18" i="6"/>
  <c r="H18" i="6"/>
  <c r="AA17" i="6"/>
  <c r="P17" i="6"/>
  <c r="M17" i="6"/>
  <c r="H17" i="6"/>
  <c r="AA16" i="6"/>
  <c r="P16" i="6"/>
  <c r="V16" i="6"/>
  <c r="W16" i="6" s="1"/>
  <c r="M16" i="6"/>
  <c r="H16" i="6"/>
  <c r="AA15" i="6"/>
  <c r="P15" i="6"/>
  <c r="M15" i="6"/>
  <c r="H15" i="6"/>
  <c r="AA14" i="6"/>
  <c r="P14" i="6"/>
  <c r="M14" i="6"/>
  <c r="H14" i="6"/>
  <c r="AA13" i="6"/>
  <c r="P13" i="6"/>
  <c r="M13" i="6"/>
  <c r="H13" i="6"/>
  <c r="AA12" i="6"/>
  <c r="P12" i="6"/>
  <c r="M12" i="6"/>
  <c r="H12" i="6"/>
  <c r="AA11" i="6"/>
  <c r="P11" i="6"/>
  <c r="M11" i="6"/>
  <c r="H11" i="6"/>
  <c r="AA10" i="6"/>
  <c r="P10" i="6"/>
  <c r="M10" i="6"/>
  <c r="H10" i="6"/>
  <c r="AA9" i="6"/>
  <c r="P9" i="6"/>
  <c r="M9" i="6"/>
  <c r="H9" i="6"/>
  <c r="AA8" i="6"/>
  <c r="P8" i="6"/>
  <c r="M8" i="6"/>
  <c r="H8" i="6"/>
  <c r="AA7" i="6"/>
  <c r="P7" i="6"/>
  <c r="M7" i="6"/>
  <c r="H7" i="6"/>
  <c r="AA6" i="6"/>
  <c r="P6" i="6"/>
  <c r="M6" i="6"/>
  <c r="H6" i="6"/>
  <c r="AA5" i="6"/>
  <c r="P5" i="6"/>
  <c r="M5" i="6"/>
  <c r="H5" i="6"/>
  <c r="AA4" i="6"/>
  <c r="P4" i="6"/>
  <c r="V4" i="6"/>
  <c r="W4" i="6" s="1"/>
  <c r="M4" i="6"/>
  <c r="H4" i="6"/>
  <c r="AA3" i="6"/>
  <c r="P3" i="6"/>
  <c r="M3" i="6"/>
  <c r="H3" i="6"/>
  <c r="AA2" i="6"/>
  <c r="P2" i="6"/>
  <c r="M2" i="6"/>
  <c r="H2" i="6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" i="5"/>
  <c r="AA27" i="5"/>
  <c r="P27" i="5"/>
  <c r="N27" i="5"/>
  <c r="M27" i="5"/>
  <c r="H27" i="5"/>
  <c r="AA26" i="5"/>
  <c r="P26" i="5"/>
  <c r="N26" i="5"/>
  <c r="M26" i="5"/>
  <c r="H26" i="5"/>
  <c r="AA25" i="5"/>
  <c r="P25" i="5"/>
  <c r="N25" i="5"/>
  <c r="M25" i="5"/>
  <c r="H25" i="5"/>
  <c r="AA24" i="5"/>
  <c r="P24" i="5"/>
  <c r="N24" i="5"/>
  <c r="M24" i="5"/>
  <c r="H24" i="5"/>
  <c r="AA23" i="5"/>
  <c r="P23" i="5"/>
  <c r="N23" i="5"/>
  <c r="M23" i="5"/>
  <c r="H23" i="5"/>
  <c r="AA22" i="5"/>
  <c r="P22" i="5"/>
  <c r="N22" i="5"/>
  <c r="M22" i="5"/>
  <c r="H22" i="5"/>
  <c r="AA21" i="5"/>
  <c r="P21" i="5"/>
  <c r="N21" i="5"/>
  <c r="M21" i="5"/>
  <c r="H21" i="5"/>
  <c r="AA20" i="5"/>
  <c r="P20" i="5"/>
  <c r="N20" i="5"/>
  <c r="M20" i="5"/>
  <c r="AA19" i="5"/>
  <c r="P19" i="5"/>
  <c r="N19" i="5"/>
  <c r="V19" i="5" s="1"/>
  <c r="M19" i="5"/>
  <c r="H19" i="5"/>
  <c r="AA18" i="5"/>
  <c r="P18" i="5"/>
  <c r="N18" i="5"/>
  <c r="M18" i="5"/>
  <c r="H18" i="5"/>
  <c r="AA17" i="5"/>
  <c r="P17" i="5"/>
  <c r="N17" i="5"/>
  <c r="M17" i="5"/>
  <c r="H17" i="5"/>
  <c r="AA16" i="5"/>
  <c r="P16" i="5"/>
  <c r="N16" i="5"/>
  <c r="V16" i="5" s="1"/>
  <c r="M16" i="5"/>
  <c r="H16" i="5"/>
  <c r="AA15" i="5"/>
  <c r="P15" i="5"/>
  <c r="N15" i="5"/>
  <c r="M15" i="5"/>
  <c r="H15" i="5"/>
  <c r="AA14" i="5"/>
  <c r="P14" i="5"/>
  <c r="N14" i="5"/>
  <c r="M14" i="5"/>
  <c r="H14" i="5"/>
  <c r="AA13" i="5"/>
  <c r="P13" i="5"/>
  <c r="N13" i="5"/>
  <c r="V13" i="5" s="1"/>
  <c r="M13" i="5"/>
  <c r="H13" i="5"/>
  <c r="AA12" i="5"/>
  <c r="P12" i="5"/>
  <c r="N12" i="5"/>
  <c r="M12" i="5"/>
  <c r="H12" i="5"/>
  <c r="AA11" i="5"/>
  <c r="P11" i="5"/>
  <c r="N11" i="5"/>
  <c r="M11" i="5"/>
  <c r="H11" i="5"/>
  <c r="AA10" i="5"/>
  <c r="P10" i="5"/>
  <c r="N10" i="5"/>
  <c r="M10" i="5"/>
  <c r="H10" i="5"/>
  <c r="AA9" i="5"/>
  <c r="P9" i="5"/>
  <c r="N9" i="5"/>
  <c r="V9" i="5" s="1"/>
  <c r="M9" i="5"/>
  <c r="H9" i="5"/>
  <c r="AA8" i="5"/>
  <c r="P8" i="5"/>
  <c r="N8" i="5"/>
  <c r="M8" i="5"/>
  <c r="H8" i="5"/>
  <c r="AA7" i="5"/>
  <c r="P7" i="5"/>
  <c r="N7" i="5"/>
  <c r="M7" i="5"/>
  <c r="H7" i="5"/>
  <c r="AA6" i="5"/>
  <c r="P6" i="5"/>
  <c r="N6" i="5"/>
  <c r="M6" i="5"/>
  <c r="H6" i="5"/>
  <c r="AA5" i="5"/>
  <c r="P5" i="5"/>
  <c r="N5" i="5"/>
  <c r="V5" i="5" s="1"/>
  <c r="M5" i="5"/>
  <c r="H5" i="5"/>
  <c r="AA4" i="5"/>
  <c r="P4" i="5"/>
  <c r="N4" i="5"/>
  <c r="M4" i="5"/>
  <c r="H4" i="5"/>
  <c r="AA3" i="5"/>
  <c r="P3" i="5"/>
  <c r="N3" i="5"/>
  <c r="M3" i="5"/>
  <c r="H3" i="5"/>
  <c r="AA2" i="5"/>
  <c r="P2" i="5"/>
  <c r="N2" i="5"/>
  <c r="V2" i="5" s="1"/>
  <c r="M2" i="5"/>
  <c r="H2" i="5"/>
  <c r="U20" i="4"/>
  <c r="U2" i="1"/>
  <c r="L27" i="4"/>
  <c r="L3" i="4"/>
  <c r="T3" i="4" s="1"/>
  <c r="U3" i="4" s="1"/>
  <c r="L4" i="4"/>
  <c r="T4" i="4" s="1"/>
  <c r="U4" i="4" s="1"/>
  <c r="L5" i="4"/>
  <c r="T5" i="4" s="1"/>
  <c r="U5" i="4" s="1"/>
  <c r="L6" i="4"/>
  <c r="T6" i="4" s="1"/>
  <c r="U6" i="4" s="1"/>
  <c r="L7" i="4"/>
  <c r="T7" i="4" s="1"/>
  <c r="U7" i="4" s="1"/>
  <c r="L8" i="4"/>
  <c r="T8" i="4" s="1"/>
  <c r="U8" i="4" s="1"/>
  <c r="L9" i="4"/>
  <c r="L10" i="4"/>
  <c r="L11" i="4"/>
  <c r="L12" i="4"/>
  <c r="T12" i="4" s="1"/>
  <c r="U12" i="4" s="1"/>
  <c r="L13" i="4"/>
  <c r="T13" i="4" s="1"/>
  <c r="L14" i="4"/>
  <c r="T14" i="4" s="1"/>
  <c r="U14" i="4" s="1"/>
  <c r="L15" i="4"/>
  <c r="T15" i="4" s="1"/>
  <c r="U15" i="4" s="1"/>
  <c r="L16" i="4"/>
  <c r="T16" i="4" s="1"/>
  <c r="U16" i="4" s="1"/>
  <c r="L17" i="4"/>
  <c r="T17" i="4" s="1"/>
  <c r="U17" i="4" s="1"/>
  <c r="L18" i="4"/>
  <c r="T18" i="4" s="1"/>
  <c r="U18" i="4" s="1"/>
  <c r="L19" i="4"/>
  <c r="L20" i="4"/>
  <c r="V20" i="4" s="1"/>
  <c r="W20" i="4" s="1"/>
  <c r="X20" i="4" s="1"/>
  <c r="L21" i="4"/>
  <c r="L22" i="4"/>
  <c r="T22" i="4" s="1"/>
  <c r="U22" i="4" s="1"/>
  <c r="L23" i="4"/>
  <c r="T23" i="4" s="1"/>
  <c r="U23" i="4" s="1"/>
  <c r="L24" i="4"/>
  <c r="T24" i="4" s="1"/>
  <c r="U24" i="4" s="1"/>
  <c r="L25" i="4"/>
  <c r="L26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1" i="4"/>
  <c r="F22" i="4"/>
  <c r="F23" i="4"/>
  <c r="F24" i="4"/>
  <c r="F25" i="4"/>
  <c r="F26" i="4"/>
  <c r="F27" i="4"/>
  <c r="F2" i="4"/>
  <c r="R2" i="1"/>
  <c r="N21" i="4"/>
  <c r="N22" i="4"/>
  <c r="N18" i="4"/>
  <c r="N4" i="4"/>
  <c r="N3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9" i="4"/>
  <c r="N20" i="4"/>
  <c r="N23" i="4"/>
  <c r="N24" i="4"/>
  <c r="N25" i="4"/>
  <c r="N26" i="4"/>
  <c r="N27" i="4"/>
  <c r="N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" i="4"/>
  <c r="R18" i="1"/>
  <c r="U18" i="1" s="1"/>
  <c r="T18" i="1"/>
  <c r="R19" i="1"/>
  <c r="S19" i="1" s="1"/>
  <c r="T19" i="1"/>
  <c r="U19" i="1"/>
  <c r="V19" i="1" s="1"/>
  <c r="R20" i="1"/>
  <c r="S20" i="1" s="1"/>
  <c r="T20" i="1"/>
  <c r="R21" i="1"/>
  <c r="S21" i="1" s="1"/>
  <c r="T21" i="1"/>
  <c r="U21" i="1"/>
  <c r="R16" i="1"/>
  <c r="S16" i="1"/>
  <c r="T16" i="1"/>
  <c r="U16" i="1"/>
  <c r="V16" i="1" s="1"/>
  <c r="R17" i="1"/>
  <c r="S17" i="1"/>
  <c r="T17" i="1"/>
  <c r="U17" i="1"/>
  <c r="V17" i="1" s="1"/>
  <c r="R14" i="1"/>
  <c r="S14" i="1" s="1"/>
  <c r="R15" i="1"/>
  <c r="S15" i="1" s="1"/>
  <c r="T15" i="1"/>
  <c r="T14" i="1"/>
  <c r="U13" i="1"/>
  <c r="V13" i="1" s="1"/>
  <c r="R10" i="1"/>
  <c r="U10" i="1" s="1"/>
  <c r="V10" i="1" s="1"/>
  <c r="S10" i="1"/>
  <c r="R11" i="1"/>
  <c r="U11" i="1" s="1"/>
  <c r="V11" i="1" s="1"/>
  <c r="R12" i="1"/>
  <c r="U12" i="1" s="1"/>
  <c r="V12" i="1" s="1"/>
  <c r="S12" i="1"/>
  <c r="R13" i="1"/>
  <c r="S13" i="1" s="1"/>
  <c r="T13" i="1"/>
  <c r="T12" i="1"/>
  <c r="T11" i="1"/>
  <c r="T10" i="1"/>
  <c r="T3" i="1"/>
  <c r="T4" i="1"/>
  <c r="T5" i="1"/>
  <c r="T6" i="1"/>
  <c r="T7" i="1"/>
  <c r="T8" i="1"/>
  <c r="T9" i="1"/>
  <c r="T2" i="1"/>
  <c r="R6" i="1"/>
  <c r="U6" i="1" s="1"/>
  <c r="V6" i="1" s="1"/>
  <c r="R7" i="1"/>
  <c r="U7" i="1" s="1"/>
  <c r="V7" i="1" s="1"/>
  <c r="R8" i="1"/>
  <c r="U8" i="1" s="1"/>
  <c r="V8" i="1" s="1"/>
  <c r="R9" i="1"/>
  <c r="U9" i="1" s="1"/>
  <c r="V9" i="1" s="1"/>
  <c r="R3" i="1"/>
  <c r="U3" i="1" s="1"/>
  <c r="V3" i="1" s="1"/>
  <c r="R4" i="1"/>
  <c r="U4" i="1" s="1"/>
  <c r="R5" i="1"/>
  <c r="S5" i="1" s="1"/>
  <c r="U47" i="4" l="1"/>
  <c r="V47" i="4"/>
  <c r="W47" i="4" s="1"/>
  <c r="X47" i="4" s="1"/>
  <c r="U46" i="4"/>
  <c r="V46" i="4"/>
  <c r="W46" i="4" s="1"/>
  <c r="X46" i="4" s="1"/>
  <c r="U45" i="4"/>
  <c r="V45" i="4"/>
  <c r="W45" i="4" s="1"/>
  <c r="X45" i="4" s="1"/>
  <c r="U44" i="4"/>
  <c r="V44" i="4"/>
  <c r="W44" i="4" s="1"/>
  <c r="X44" i="4" s="1"/>
  <c r="U43" i="4"/>
  <c r="V43" i="4"/>
  <c r="W43" i="4" s="1"/>
  <c r="X43" i="4" s="1"/>
  <c r="U42" i="4"/>
  <c r="V42" i="4"/>
  <c r="W42" i="4" s="1"/>
  <c r="X42" i="4" s="1"/>
  <c r="V41" i="4"/>
  <c r="W41" i="4" s="1"/>
  <c r="X41" i="4" s="1"/>
  <c r="V24" i="4"/>
  <c r="V23" i="4"/>
  <c r="V22" i="4"/>
  <c r="V36" i="4"/>
  <c r="V33" i="4"/>
  <c r="W33" i="4" s="1"/>
  <c r="X33" i="4" s="1"/>
  <c r="U33" i="4"/>
  <c r="T34" i="4"/>
  <c r="U34" i="4" s="1"/>
  <c r="T29" i="4"/>
  <c r="U29" i="4" s="1"/>
  <c r="V8" i="4"/>
  <c r="W8" i="4" s="1"/>
  <c r="X8" i="4" s="1"/>
  <c r="V6" i="4"/>
  <c r="W6" i="4" s="1"/>
  <c r="X6" i="4" s="1"/>
  <c r="V7" i="4"/>
  <c r="W7" i="4" s="1"/>
  <c r="X7" i="4" s="1"/>
  <c r="W36" i="4"/>
  <c r="X36" i="4" s="1"/>
  <c r="U13" i="4"/>
  <c r="V39" i="4"/>
  <c r="W39" i="4" s="1"/>
  <c r="X39" i="4" s="1"/>
  <c r="V18" i="4"/>
  <c r="W18" i="4" s="1"/>
  <c r="X18" i="4" s="1"/>
  <c r="T31" i="4"/>
  <c r="U31" i="4" s="1"/>
  <c r="V17" i="4"/>
  <c r="W17" i="4" s="1"/>
  <c r="X17" i="4" s="1"/>
  <c r="V37" i="4"/>
  <c r="W37" i="4" s="1"/>
  <c r="X37" i="4" s="1"/>
  <c r="V16" i="4"/>
  <c r="W16" i="4" s="1"/>
  <c r="X16" i="4" s="1"/>
  <c r="V15" i="4"/>
  <c r="W15" i="4" s="1"/>
  <c r="X15" i="4" s="1"/>
  <c r="V30" i="4"/>
  <c r="W30" i="4" s="1"/>
  <c r="X30" i="4" s="1"/>
  <c r="T2" i="4"/>
  <c r="U2" i="4" s="1"/>
  <c r="V14" i="4"/>
  <c r="W14" i="4" s="1"/>
  <c r="X14" i="4" s="1"/>
  <c r="T21" i="4"/>
  <c r="U21" i="4" s="1"/>
  <c r="V13" i="4"/>
  <c r="W13" i="4" s="1"/>
  <c r="X13" i="4" s="1"/>
  <c r="T19" i="4"/>
  <c r="U19" i="4" s="1"/>
  <c r="V12" i="4"/>
  <c r="V5" i="4"/>
  <c r="W5" i="4" s="1"/>
  <c r="X5" i="4" s="1"/>
  <c r="V38" i="4"/>
  <c r="W38" i="4" s="1"/>
  <c r="X38" i="4" s="1"/>
  <c r="V35" i="4"/>
  <c r="W35" i="4" s="1"/>
  <c r="X35" i="4" s="1"/>
  <c r="V28" i="4"/>
  <c r="W28" i="4" s="1"/>
  <c r="X28" i="4" s="1"/>
  <c r="T11" i="4"/>
  <c r="V4" i="4"/>
  <c r="W4" i="4" s="1"/>
  <c r="X4" i="4" s="1"/>
  <c r="V3" i="4"/>
  <c r="W3" i="4" s="1"/>
  <c r="X3" i="4" s="1"/>
  <c r="V40" i="4"/>
  <c r="W40" i="4" s="1"/>
  <c r="X40" i="4" s="1"/>
  <c r="V32" i="4"/>
  <c r="W32" i="4" s="1"/>
  <c r="X32" i="4" s="1"/>
  <c r="Y20" i="6"/>
  <c r="Z20" i="6" s="1"/>
  <c r="V21" i="6"/>
  <c r="W21" i="6" s="1"/>
  <c r="V25" i="6"/>
  <c r="W25" i="6" s="1"/>
  <c r="V2" i="6"/>
  <c r="W2" i="6" s="1"/>
  <c r="V5" i="6"/>
  <c r="W5" i="6" s="1"/>
  <c r="V7" i="6"/>
  <c r="W7" i="6" s="1"/>
  <c r="V9" i="6"/>
  <c r="W9" i="6" s="1"/>
  <c r="V11" i="6"/>
  <c r="W11" i="6" s="1"/>
  <c r="V13" i="6"/>
  <c r="W13" i="6" s="1"/>
  <c r="V14" i="6"/>
  <c r="W14" i="6" s="1"/>
  <c r="V15" i="6"/>
  <c r="W15" i="6" s="1"/>
  <c r="V18" i="6"/>
  <c r="W18" i="6" s="1"/>
  <c r="V19" i="6"/>
  <c r="W19" i="6" s="1"/>
  <c r="Y22" i="6"/>
  <c r="Z22" i="6" s="1"/>
  <c r="Y23" i="6"/>
  <c r="Z23" i="6" s="1"/>
  <c r="Y26" i="6"/>
  <c r="Z26" i="6" s="1"/>
  <c r="V24" i="6"/>
  <c r="W24" i="6" s="1"/>
  <c r="V3" i="6"/>
  <c r="W3" i="6" s="1"/>
  <c r="V6" i="6"/>
  <c r="W6" i="6" s="1"/>
  <c r="V8" i="6"/>
  <c r="W8" i="6" s="1"/>
  <c r="V12" i="6"/>
  <c r="W12" i="6" s="1"/>
  <c r="V17" i="6"/>
  <c r="W17" i="6" s="1"/>
  <c r="Y4" i="6"/>
  <c r="Z4" i="6" s="1"/>
  <c r="Y10" i="6"/>
  <c r="Z10" i="6" s="1"/>
  <c r="Y16" i="6"/>
  <c r="Z16" i="6" s="1"/>
  <c r="Y20" i="5"/>
  <c r="Z20" i="5" s="1"/>
  <c r="Y7" i="5"/>
  <c r="Z7" i="5" s="1"/>
  <c r="Y23" i="5"/>
  <c r="Z23" i="5" s="1"/>
  <c r="Y25" i="5"/>
  <c r="Z25" i="5" s="1"/>
  <c r="Y27" i="5"/>
  <c r="Z27" i="5" s="1"/>
  <c r="Y22" i="5"/>
  <c r="Z22" i="5" s="1"/>
  <c r="Y11" i="5"/>
  <c r="Z11" i="5" s="1"/>
  <c r="Y15" i="5"/>
  <c r="Z15" i="5" s="1"/>
  <c r="V21" i="5"/>
  <c r="V22" i="5"/>
  <c r="V23" i="5"/>
  <c r="V24" i="5"/>
  <c r="V25" i="5"/>
  <c r="V26" i="5"/>
  <c r="V27" i="5"/>
  <c r="V11" i="5"/>
  <c r="V14" i="5"/>
  <c r="V3" i="5"/>
  <c r="V6" i="5"/>
  <c r="V7" i="5"/>
  <c r="V10" i="5"/>
  <c r="V15" i="5"/>
  <c r="V18" i="5"/>
  <c r="V4" i="5"/>
  <c r="V8" i="5"/>
  <c r="V12" i="5"/>
  <c r="V17" i="5"/>
  <c r="Y2" i="5"/>
  <c r="Z2" i="5" s="1"/>
  <c r="Y5" i="5"/>
  <c r="Z5" i="5" s="1"/>
  <c r="Y9" i="5"/>
  <c r="Z9" i="5" s="1"/>
  <c r="Y13" i="5"/>
  <c r="Z13" i="5" s="1"/>
  <c r="Y16" i="5"/>
  <c r="Z16" i="5" s="1"/>
  <c r="Y19" i="5"/>
  <c r="Z19" i="5" s="1"/>
  <c r="W12" i="4"/>
  <c r="X12" i="4" s="1"/>
  <c r="W22" i="4"/>
  <c r="X22" i="4" s="1"/>
  <c r="W23" i="4"/>
  <c r="X23" i="4" s="1"/>
  <c r="W24" i="4"/>
  <c r="X24" i="4" s="1"/>
  <c r="T27" i="4"/>
  <c r="T26" i="4"/>
  <c r="T25" i="4"/>
  <c r="T10" i="4"/>
  <c r="T9" i="4"/>
  <c r="V21" i="1"/>
  <c r="V18" i="1"/>
  <c r="U20" i="1"/>
  <c r="V20" i="1" s="1"/>
  <c r="S18" i="1"/>
  <c r="U15" i="1"/>
  <c r="V15" i="1" s="1"/>
  <c r="U14" i="1"/>
  <c r="V14" i="1" s="1"/>
  <c r="S11" i="1"/>
  <c r="S3" i="1"/>
  <c r="V2" i="1"/>
  <c r="V4" i="1"/>
  <c r="U5" i="1"/>
  <c r="V5" i="1" s="1"/>
  <c r="S2" i="1"/>
  <c r="S9" i="1"/>
  <c r="S8" i="1"/>
  <c r="S7" i="1"/>
  <c r="S6" i="1"/>
  <c r="S4" i="1"/>
  <c r="V34" i="4" l="1"/>
  <c r="W34" i="4" s="1"/>
  <c r="X34" i="4" s="1"/>
  <c r="V29" i="4"/>
  <c r="W29" i="4" s="1"/>
  <c r="X29" i="4" s="1"/>
  <c r="V19" i="4"/>
  <c r="W19" i="4" s="1"/>
  <c r="X19" i="4" s="1"/>
  <c r="U26" i="4"/>
  <c r="V26" i="4"/>
  <c r="W26" i="4" s="1"/>
  <c r="X26" i="4" s="1"/>
  <c r="U27" i="4"/>
  <c r="V27" i="4"/>
  <c r="W27" i="4" s="1"/>
  <c r="X27" i="4" s="1"/>
  <c r="V21" i="4"/>
  <c r="W21" i="4" s="1"/>
  <c r="X21" i="4" s="1"/>
  <c r="U10" i="4"/>
  <c r="V10" i="4"/>
  <c r="W10" i="4" s="1"/>
  <c r="X10" i="4" s="1"/>
  <c r="U11" i="4"/>
  <c r="V11" i="4"/>
  <c r="W11" i="4" s="1"/>
  <c r="X11" i="4" s="1"/>
  <c r="V2" i="4"/>
  <c r="W2" i="4" s="1"/>
  <c r="X2" i="4" s="1"/>
  <c r="U9" i="4"/>
  <c r="V9" i="4"/>
  <c r="W9" i="4" s="1"/>
  <c r="X9" i="4" s="1"/>
  <c r="V25" i="4"/>
  <c r="W25" i="4" s="1"/>
  <c r="X25" i="4" s="1"/>
  <c r="U25" i="4"/>
  <c r="V31" i="4"/>
  <c r="W31" i="4" s="1"/>
  <c r="X31" i="4" s="1"/>
  <c r="Y6" i="6"/>
  <c r="Z6" i="6" s="1"/>
  <c r="Y9" i="6"/>
  <c r="Z9" i="6" s="1"/>
  <c r="Y5" i="6"/>
  <c r="Z5" i="6" s="1"/>
  <c r="Y2" i="6"/>
  <c r="Z2" i="6" s="1"/>
  <c r="Y15" i="6"/>
  <c r="Z15" i="6" s="1"/>
  <c r="Y17" i="6"/>
  <c r="Z17" i="6" s="1"/>
  <c r="Y12" i="6"/>
  <c r="Z12" i="6" s="1"/>
  <c r="Y7" i="6"/>
  <c r="Z7" i="6" s="1"/>
  <c r="Y19" i="6"/>
  <c r="Z19" i="6" s="1"/>
  <c r="Y14" i="6"/>
  <c r="Z14" i="6" s="1"/>
  <c r="Y13" i="6"/>
  <c r="Z13" i="6" s="1"/>
  <c r="Y3" i="6"/>
  <c r="Z3" i="6" s="1"/>
  <c r="Y18" i="6"/>
  <c r="Z18" i="6" s="1"/>
  <c r="Y25" i="6"/>
  <c r="Z25" i="6" s="1"/>
  <c r="Y21" i="6"/>
  <c r="Z21" i="6" s="1"/>
  <c r="Y11" i="6"/>
  <c r="Z11" i="6" s="1"/>
  <c r="Y24" i="6"/>
  <c r="Z24" i="6" s="1"/>
  <c r="Y8" i="6"/>
  <c r="Z8" i="6" s="1"/>
  <c r="Y21" i="5"/>
  <c r="Z21" i="5" s="1"/>
  <c r="Y8" i="5"/>
  <c r="Z8" i="5" s="1"/>
  <c r="Y24" i="5"/>
  <c r="Z24" i="5" s="1"/>
  <c r="Y4" i="5"/>
  <c r="Z4" i="5" s="1"/>
  <c r="Y17" i="5"/>
  <c r="Z17" i="5" s="1"/>
  <c r="Y3" i="5"/>
  <c r="Z3" i="5" s="1"/>
  <c r="Y14" i="5"/>
  <c r="Z14" i="5" s="1"/>
  <c r="Y12" i="5"/>
  <c r="Z12" i="5" s="1"/>
  <c r="Y18" i="5"/>
  <c r="Z18" i="5" s="1"/>
  <c r="Y26" i="5"/>
  <c r="Z26" i="5" s="1"/>
  <c r="Y6" i="5"/>
  <c r="Z6" i="5" s="1"/>
  <c r="Y10" i="5"/>
  <c r="Z10" i="5" s="1"/>
</calcChain>
</file>

<file path=xl/sharedStrings.xml><?xml version="1.0" encoding="utf-8"?>
<sst xmlns="http://schemas.openxmlformats.org/spreadsheetml/2006/main" count="424" uniqueCount="140">
  <si>
    <t>Sample Name</t>
  </si>
  <si>
    <t>Gas</t>
  </si>
  <si>
    <t>Initial Concentration (mM)</t>
  </si>
  <si>
    <t>DC Current (mA)</t>
  </si>
  <si>
    <t>Frequency (%)</t>
  </si>
  <si>
    <t>Duty Cycle (%)</t>
  </si>
  <si>
    <t>Measured FE (%)</t>
  </si>
  <si>
    <t>1s-c</t>
  </si>
  <si>
    <t>Ar</t>
  </si>
  <si>
    <t>1s-a</t>
  </si>
  <si>
    <t>2s-c</t>
  </si>
  <si>
    <t>He</t>
  </si>
  <si>
    <t>2s-a</t>
  </si>
  <si>
    <t>3s-c</t>
  </si>
  <si>
    <t>3s-a</t>
  </si>
  <si>
    <t>4s-c</t>
  </si>
  <si>
    <t>4s-a</t>
  </si>
  <si>
    <t>Peak Current (mA)</t>
  </si>
  <si>
    <t>Average Current (mA)</t>
  </si>
  <si>
    <t>2nd-Order Recomb Const (m^3/mol-s)</t>
  </si>
  <si>
    <t>1st-Order Recomb Const (1/s)</t>
  </si>
  <si>
    <t>Sub Rate Const (m^3/mol-s)</t>
  </si>
  <si>
    <t>Sub Diffusivity (m^2/s)</t>
  </si>
  <si>
    <t>e- Diffusivity (m^2/s)</t>
  </si>
  <si>
    <t>PLI Area (mm^2)</t>
  </si>
  <si>
    <t>Effective Recomb Const (1/s)</t>
  </si>
  <si>
    <t>Kinetically-Limited FE (%)</t>
  </si>
  <si>
    <t>On Time (s)</t>
  </si>
  <si>
    <t>Depletion Time (s)</t>
  </si>
  <si>
    <t>t^*/t_on</t>
  </si>
  <si>
    <t>5s-c</t>
  </si>
  <si>
    <t>5s-a</t>
  </si>
  <si>
    <t>Volume</t>
  </si>
  <si>
    <t>Split Type</t>
  </si>
  <si>
    <t>Frit</t>
  </si>
  <si>
    <t>Nafion</t>
  </si>
  <si>
    <t>6s-c</t>
  </si>
  <si>
    <t>6s-a</t>
  </si>
  <si>
    <t>7s-c</t>
  </si>
  <si>
    <t>7s-a</t>
  </si>
  <si>
    <t>8s-c</t>
  </si>
  <si>
    <t>8s-a</t>
  </si>
  <si>
    <t>9s-c</t>
  </si>
  <si>
    <t>9s-a</t>
  </si>
  <si>
    <t>10s-a</t>
  </si>
  <si>
    <t>10s-c</t>
  </si>
  <si>
    <t>Condition</t>
  </si>
  <si>
    <t>Sample ID</t>
  </si>
  <si>
    <t>Experiment?</t>
  </si>
  <si>
    <t>ISE?</t>
  </si>
  <si>
    <t>FE (%)</t>
  </si>
  <si>
    <t>1DC-c</t>
  </si>
  <si>
    <t>1DC-a</t>
  </si>
  <si>
    <t>2DC-c</t>
  </si>
  <si>
    <t>2DC-a</t>
  </si>
  <si>
    <t>3DC-c</t>
  </si>
  <si>
    <t>3DC-a</t>
  </si>
  <si>
    <t>4DC-c</t>
  </si>
  <si>
    <t>4DC-a</t>
  </si>
  <si>
    <t>5DC-c</t>
  </si>
  <si>
    <t>5DC-a</t>
  </si>
  <si>
    <t>6DC-c</t>
  </si>
  <si>
    <t>6DC-a</t>
  </si>
  <si>
    <t>7DC-c</t>
  </si>
  <si>
    <t>8DC-c</t>
  </si>
  <si>
    <t>9DC-c</t>
  </si>
  <si>
    <t>20 mM, 3 mA, #1</t>
  </si>
  <si>
    <t>20 mM, 6 mA, #1</t>
  </si>
  <si>
    <t>50 mM, 3 mA, #1</t>
  </si>
  <si>
    <t>50 mM, 1.5 mA, #1</t>
  </si>
  <si>
    <t>20 mM, 1.5 mA, #1</t>
  </si>
  <si>
    <t>Yes</t>
  </si>
  <si>
    <t>50 mM, 6 mA, #1</t>
  </si>
  <si>
    <t>20 mM, 1.5 mA, #2</t>
  </si>
  <si>
    <t>50 mM, 3.0 mA, #2</t>
  </si>
  <si>
    <t>20 mM, 1.5 mA, #3</t>
  </si>
  <si>
    <t>10DC-c</t>
  </si>
  <si>
    <t>20 mM, 3.0 mA, #2</t>
  </si>
  <si>
    <t>20 mM. 3.0 mA, #3</t>
  </si>
  <si>
    <t>11DC-c</t>
  </si>
  <si>
    <t>20 mM, 6.0 mA, #2</t>
  </si>
  <si>
    <t>12DC-c</t>
  </si>
  <si>
    <t>13DC-c</t>
  </si>
  <si>
    <t>50 mM, 1.5 mA, #2</t>
  </si>
  <si>
    <t>14DC-c</t>
  </si>
  <si>
    <t>50 mM, 6.0 mA, #2</t>
  </si>
  <si>
    <t>50 mM, 1.5 mA, #3</t>
  </si>
  <si>
    <t>15DC-c</t>
  </si>
  <si>
    <t>Number Trial</t>
  </si>
  <si>
    <t>Concentration (mM)</t>
  </si>
  <si>
    <t>Current (mA)</t>
  </si>
  <si>
    <t>1DCH</t>
  </si>
  <si>
    <t>2DCH</t>
  </si>
  <si>
    <t>3DCH</t>
  </si>
  <si>
    <t>4DCH</t>
  </si>
  <si>
    <t>yes</t>
  </si>
  <si>
    <t>5DCH</t>
  </si>
  <si>
    <t>6DCH</t>
  </si>
  <si>
    <t>7DCH</t>
  </si>
  <si>
    <t>8DCH</t>
  </si>
  <si>
    <t>9DCH</t>
  </si>
  <si>
    <t>10DCH</t>
  </si>
  <si>
    <t>Flow Rate (sccm)</t>
  </si>
  <si>
    <t>11DCH</t>
  </si>
  <si>
    <t>12DCH</t>
  </si>
  <si>
    <t>50 mM, 3.0 mA, #3</t>
  </si>
  <si>
    <t>50 mM, 6.0 mA, #3</t>
  </si>
  <si>
    <t>16DCA</t>
  </si>
  <si>
    <t>17DCA</t>
  </si>
  <si>
    <t>18DCA</t>
  </si>
  <si>
    <t>50 mM, 1.5 mA, #4</t>
  </si>
  <si>
    <t>All 20 mM data is now suspect: could have been 10 mM.</t>
  </si>
  <si>
    <t>Personal failure to appropriately record volumes used in experiment preparation.</t>
  </si>
  <si>
    <t>Reliability TBD. Issues with thermal management (too hot), MFC (too large range), and membrane (blue deposits).</t>
  </si>
  <si>
    <t>Height (mm)</t>
  </si>
  <si>
    <t>HVDC Set Current (mA)</t>
  </si>
  <si>
    <t>Gas, Flow Rate (sccm)</t>
  </si>
  <si>
    <t>Frequency (Hz)</t>
  </si>
  <si>
    <t>Avg Current (mA)</t>
  </si>
  <si>
    <t>Peak Current Density (mA/mm^2)</t>
  </si>
  <si>
    <t>Peak Current Density Err (mA/mm^2)</t>
  </si>
  <si>
    <t>Degree Depletion</t>
  </si>
  <si>
    <t>Degree Recovery</t>
  </si>
  <si>
    <t>Ar, 100</t>
  </si>
  <si>
    <t>Liquid Composition (aqueous)</t>
  </si>
  <si>
    <t>13DCH</t>
  </si>
  <si>
    <t>Removed.</t>
  </si>
  <si>
    <t>200 mM NaClO4</t>
  </si>
  <si>
    <t>Area (mm^2)</t>
  </si>
  <si>
    <t>Area Err (mm^2, 95%)</t>
  </si>
  <si>
    <t>Peak Current Err (mA, 95%)</t>
  </si>
  <si>
    <t>Rel Peak Current Err (95%)</t>
  </si>
  <si>
    <t>Rel Area Err (95%)</t>
  </si>
  <si>
    <t>Max Inst. Sel (%)</t>
  </si>
  <si>
    <t>50% Depletion Time (s)</t>
  </si>
  <si>
    <t>Allowed/On Time</t>
  </si>
  <si>
    <t>20% Depletion Time (s)</t>
  </si>
  <si>
    <t>Name</t>
  </si>
  <si>
    <t>Set HVDC Current (mA)</t>
  </si>
  <si>
    <t>2.5_3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</si>
</sst>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11" fontId="0" fillId="0" borderId="0" xfId="0" applyNumberFormat="1"/>
    <xf numFmtId="0" fontId="2" fillId="0" borderId="0" xfId="0" applyFont="1"/>
    <xf numFmtId="11" fontId="0" fillId="2" borderId="0" xfId="0" applyNumberFormat="1" applyFill="1"/>
    <xf numFmtId="2" fontId="0" fillId="2" borderId="0" xfId="1" applyNumberFormat="1" applyFont="1" applyFill="1"/>
    <xf numFmtId="2" fontId="0" fillId="2" borderId="0" xfId="1" applyNumberFormat="1" applyFont="1" applyFill="1" applyBorder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3" borderId="0" xfId="0" applyFill="1"/>
    <xf numFmtId="0" fontId="0" fillId="4" borderId="0" xfId="0" applyFill="1"/>
    <xf numFmtId="0" fontId="2" fillId="0" borderId="1" xfId="0" applyFont="1" applyBorder="1"/>
    <xf numFmtId="0" fontId="0" fillId="3" borderId="1" xfId="0" applyFill="1" applyBorder="1"/>
    <xf numFmtId="165" fontId="0" fillId="3" borderId="1" xfId="0" applyNumberForma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1" fontId="0" fillId="4" borderId="1" xfId="0" applyNumberFormat="1" applyFill="1" applyBorder="1"/>
    <xf numFmtId="164" fontId="0" fillId="4" borderId="1" xfId="0" applyNumberFormat="1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9" fontId="0" fillId="3" borderId="1" xfId="1" applyFont="1" applyFill="1" applyBorder="1"/>
    <xf numFmtId="9" fontId="0" fillId="4" borderId="1" xfId="1" applyFont="1" applyFill="1" applyBorder="1"/>
    <xf numFmtId="166" fontId="0" fillId="3" borderId="1" xfId="0" applyNumberFormat="1" applyFill="1" applyBorder="1"/>
    <xf numFmtId="166" fontId="0" fillId="4" borderId="1" xfId="0" applyNumberFormat="1" applyFill="1" applyBorder="1"/>
    <xf numFmtId="10" fontId="0" fillId="3" borderId="1" xfId="1" applyNumberFormat="1" applyFont="1" applyFill="1" applyBorder="1"/>
    <xf numFmtId="10" fontId="0" fillId="4" borderId="1" xfId="1" applyNumberFormat="1" applyFont="1" applyFill="1" applyBorder="1"/>
    <xf numFmtId="0" fontId="0" fillId="5" borderId="1" xfId="0" applyFill="1" applyBorder="1"/>
    <xf numFmtId="165" fontId="0" fillId="5" borderId="1" xfId="0" applyNumberFormat="1" applyFill="1" applyBorder="1"/>
    <xf numFmtId="11" fontId="0" fillId="5" borderId="1" xfId="0" applyNumberFormat="1" applyFill="1" applyBorder="1"/>
    <xf numFmtId="10" fontId="0" fillId="5" borderId="1" xfId="1" applyNumberFormat="1" applyFont="1" applyFill="1" applyBorder="1"/>
    <xf numFmtId="164" fontId="0" fillId="5" borderId="1" xfId="0" applyNumberFormat="1" applyFill="1" applyBorder="1"/>
    <xf numFmtId="9" fontId="0" fillId="5" borderId="1" xfId="1" applyFont="1" applyFill="1" applyBorder="1"/>
    <xf numFmtId="2" fontId="0" fillId="5" borderId="1" xfId="0" applyNumberFormat="1" applyFill="1" applyBorder="1"/>
    <xf numFmtId="166" fontId="0" fillId="5" borderId="1" xfId="0" applyNumberFormat="1" applyFill="1" applyBorder="1"/>
    <xf numFmtId="0" fontId="0" fillId="5" borderId="0" xfId="0" applyFill="1"/>
    <xf numFmtId="0" fontId="0" fillId="6" borderId="1" xfId="0" applyFill="1" applyBorder="1"/>
    <xf numFmtId="164" fontId="0" fillId="6" borderId="1" xfId="0" applyNumberFormat="1" applyFill="1" applyBorder="1"/>
    <xf numFmtId="11" fontId="0" fillId="6" borderId="1" xfId="0" applyNumberFormat="1" applyFill="1" applyBorder="1"/>
    <xf numFmtId="9" fontId="0" fillId="6" borderId="1" xfId="1" applyFont="1" applyFill="1" applyBorder="1"/>
    <xf numFmtId="10" fontId="0" fillId="6" borderId="1" xfId="1" applyNumberFormat="1" applyFont="1" applyFill="1" applyBorder="1"/>
    <xf numFmtId="166" fontId="0" fillId="6" borderId="1" xfId="0" applyNumberFormat="1" applyFill="1" applyBorder="1"/>
    <xf numFmtId="0" fontId="0" fillId="0" borderId="1" xfId="0" applyBorder="1"/>
    <xf numFmtId="2" fontId="0" fillId="6" borderId="1" xfId="0" applyNumberFormat="1" applyFill="1" applyBorder="1"/>
    <xf numFmtId="10" fontId="0" fillId="0" borderId="1" xfId="1" applyNumberFormat="1" applyFont="1" applyBorder="1"/>
    <xf numFmtId="0" fontId="0" fillId="7" borderId="1" xfId="0" applyFill="1" applyBorder="1"/>
    <xf numFmtId="11" fontId="0" fillId="7" borderId="1" xfId="0" applyNumberFormat="1" applyFill="1" applyBorder="1"/>
    <xf numFmtId="164" fontId="0" fillId="7" borderId="1" xfId="0" applyNumberFormat="1" applyFill="1" applyBorder="1"/>
    <xf numFmtId="10" fontId="0" fillId="7" borderId="1" xfId="1" applyNumberFormat="1" applyFont="1" applyFill="1" applyBorder="1"/>
    <xf numFmtId="166" fontId="0" fillId="7" borderId="1" xfId="0" applyNumberFormat="1" applyFill="1" applyBorder="1"/>
    <xf numFmtId="165" fontId="0" fillId="6" borderId="1" xfId="0" applyNumberFormat="1" applyFill="1" applyBorder="1"/>
    <xf numFmtId="165" fontId="0" fillId="7" borderId="1" xfId="0" applyNumberFormat="1" applyFill="1" applyBorder="1"/>
    <xf numFmtId="2" fontId="0" fillId="7" borderId="1" xfId="0" applyNumberFormat="1" applyFill="1" applyBorder="1"/>
    <xf numFmtId="9" fontId="0" fillId="7" borderId="1" xfId="1" applyFont="1" applyFill="1" applyBorder="1"/>
    <xf numFmtId="0" fontId="0" fillId="8" borderId="1" xfId="0" applyFill="1" applyBorder="1"/>
    <xf numFmtId="11" fontId="0" fillId="8" borderId="1" xfId="0" applyNumberFormat="1" applyFill="1" applyBorder="1"/>
    <xf numFmtId="165" fontId="0" fillId="8" borderId="1" xfId="0" applyNumberFormat="1" applyFill="1" applyBorder="1"/>
    <xf numFmtId="164" fontId="0" fillId="8" borderId="1" xfId="0" applyNumberFormat="1" applyFill="1" applyBorder="1"/>
    <xf numFmtId="10" fontId="0" fillId="8" borderId="1" xfId="1" applyNumberFormat="1" applyFont="1" applyFill="1" applyBorder="1"/>
    <xf numFmtId="9" fontId="0" fillId="8" borderId="1" xfId="1" applyFont="1" applyFill="1" applyBorder="1"/>
    <xf numFmtId="2" fontId="0" fillId="8" borderId="1" xfId="0" applyNumberFormat="1" applyFill="1" applyBorder="1"/>
    <xf numFmtId="166" fontId="0" fillId="8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7905-2D1F-4F15-AAA3-83D63D7DF35F}">
  <dimension ref="A1:F2"/>
  <sheetViews>
    <sheetView tabSelected="1" workbookViewId="0">
      <selection activeCell="E2" sqref="E2"/>
    </sheetView>
  </sheetViews>
  <sheetFormatPr defaultRowHeight="15" x14ac:dyDescent="0.25"/>
  <cols>
    <col min="2" max="2" width="17.28515625" customWidth="1"/>
    <col min="3" max="3" width="15.7109375" customWidth="1"/>
    <col min="4" max="4" width="22.85546875" customWidth="1"/>
    <col min="5" max="5" width="17.140625" customWidth="1"/>
    <col min="6" max="6" width="17.85546875" customWidth="1"/>
  </cols>
  <sheetData>
    <row r="1" spans="1:6" x14ac:dyDescent="0.25">
      <c r="A1" s="2" t="s">
        <v>137</v>
      </c>
      <c r="B1" s="2" t="s">
        <v>5</v>
      </c>
      <c r="C1" s="2" t="s">
        <v>117</v>
      </c>
      <c r="D1" s="2" t="s">
        <v>138</v>
      </c>
      <c r="E1" s="2" t="s">
        <v>118</v>
      </c>
      <c r="F1" s="2" t="s">
        <v>17</v>
      </c>
    </row>
    <row r="2" spans="1:6" x14ac:dyDescent="0.25">
      <c r="A2" t="s">
        <v>139</v>
      </c>
      <c r="B2">
        <v>2.5</v>
      </c>
      <c r="C2" s="1">
        <v>7000</v>
      </c>
      <c r="D2">
        <v>8.8000000000000007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87A5-A999-BE40-8079-E1F27A7F255F}">
  <dimension ref="A1:AA46"/>
  <sheetViews>
    <sheetView topLeftCell="U7" zoomScale="140" workbookViewId="0">
      <selection activeCell="W12" sqref="W12:Z12"/>
    </sheetView>
  </sheetViews>
  <sheetFormatPr defaultColWidth="8.85546875" defaultRowHeight="15" x14ac:dyDescent="0.25"/>
  <cols>
    <col min="1" max="1" width="29.28515625" customWidth="1"/>
    <col min="2" max="2" width="23.28515625" customWidth="1"/>
    <col min="3" max="3" width="23" customWidth="1"/>
    <col min="4" max="4" width="16.7109375" customWidth="1"/>
    <col min="5" max="5" width="15.7109375" customWidth="1"/>
    <col min="6" max="6" width="18.85546875" customWidth="1"/>
    <col min="7" max="8" width="25.7109375" customWidth="1"/>
    <col min="9" max="13" width="22.7109375" customWidth="1"/>
    <col min="14" max="14" width="32" customWidth="1"/>
    <col min="15" max="15" width="35.42578125" customWidth="1"/>
    <col min="16" max="16" width="16.28515625" customWidth="1"/>
    <col min="17" max="17" width="29.42578125" customWidth="1"/>
    <col min="18" max="18" width="36.42578125" customWidth="1"/>
    <col min="19" max="19" width="41" customWidth="1"/>
    <col min="20" max="20" width="31.140625" customWidth="1"/>
    <col min="21" max="21" width="23.85546875" customWidth="1"/>
    <col min="22" max="22" width="33.140625" customWidth="1"/>
    <col min="23" max="23" width="32.140625" customWidth="1"/>
    <col min="24" max="24" width="22" customWidth="1"/>
    <col min="25" max="25" width="16.28515625" customWidth="1"/>
    <col min="26" max="26" width="18" customWidth="1"/>
    <col min="27" max="27" width="16.42578125" customWidth="1"/>
  </cols>
  <sheetData>
    <row r="1" spans="1:27" x14ac:dyDescent="0.25">
      <c r="A1" s="15" t="s">
        <v>124</v>
      </c>
      <c r="B1" s="15" t="s">
        <v>116</v>
      </c>
      <c r="C1" s="15" t="s">
        <v>115</v>
      </c>
      <c r="D1" s="15" t="s">
        <v>5</v>
      </c>
      <c r="E1" s="15" t="s">
        <v>117</v>
      </c>
      <c r="F1" s="15" t="s">
        <v>17</v>
      </c>
      <c r="G1" s="15" t="s">
        <v>130</v>
      </c>
      <c r="H1" s="15" t="s">
        <v>131</v>
      </c>
      <c r="I1" s="15" t="s">
        <v>118</v>
      </c>
      <c r="J1" s="15" t="s">
        <v>114</v>
      </c>
      <c r="K1" s="15" t="s">
        <v>128</v>
      </c>
      <c r="L1" s="15" t="s">
        <v>129</v>
      </c>
      <c r="M1" s="15" t="s">
        <v>132</v>
      </c>
      <c r="N1" s="15" t="s">
        <v>119</v>
      </c>
      <c r="O1" s="15" t="s">
        <v>120</v>
      </c>
      <c r="P1" s="15" t="s">
        <v>27</v>
      </c>
      <c r="Q1" s="15" t="s">
        <v>21</v>
      </c>
      <c r="R1" s="15" t="s">
        <v>20</v>
      </c>
      <c r="S1" s="15" t="s">
        <v>19</v>
      </c>
      <c r="T1" s="15" t="s">
        <v>22</v>
      </c>
      <c r="U1" s="15" t="s">
        <v>23</v>
      </c>
      <c r="V1" s="2" t="s">
        <v>25</v>
      </c>
      <c r="W1" s="2" t="s">
        <v>133</v>
      </c>
      <c r="X1" s="2" t="s">
        <v>136</v>
      </c>
      <c r="Y1" s="2" t="s">
        <v>135</v>
      </c>
      <c r="Z1" s="2" t="s">
        <v>121</v>
      </c>
      <c r="AA1" s="2" t="s">
        <v>122</v>
      </c>
    </row>
    <row r="2" spans="1:27" s="13" customFormat="1" x14ac:dyDescent="0.25">
      <c r="A2" s="16" t="s">
        <v>127</v>
      </c>
      <c r="B2" s="16" t="s">
        <v>123</v>
      </c>
      <c r="C2" s="17">
        <v>1.3</v>
      </c>
      <c r="D2" s="17">
        <v>5</v>
      </c>
      <c r="E2" s="18">
        <v>1000</v>
      </c>
      <c r="F2" s="17">
        <v>17.3</v>
      </c>
      <c r="G2" s="16">
        <v>0.8</v>
      </c>
      <c r="H2" s="30">
        <f>G2/F2</f>
        <v>4.6242774566473986E-2</v>
      </c>
      <c r="I2" s="17">
        <v>0.6</v>
      </c>
      <c r="J2" s="19">
        <v>1.9857</v>
      </c>
      <c r="K2" s="19">
        <v>7.85E-2</v>
      </c>
      <c r="L2" s="16">
        <v>3.5000000000000001E-3</v>
      </c>
      <c r="M2" s="30">
        <f>L2/K2</f>
        <v>4.4585987261146501E-2</v>
      </c>
      <c r="N2" s="16">
        <f>F2/K2</f>
        <v>220.38216560509554</v>
      </c>
      <c r="O2" s="16"/>
      <c r="P2" s="18">
        <f t="shared" ref="P2:P27" si="0">(1/E2)*(D2/100)</f>
        <v>5.0000000000000002E-5</v>
      </c>
      <c r="Q2" s="18">
        <v>1500000</v>
      </c>
      <c r="R2" s="18">
        <v>1000</v>
      </c>
      <c r="S2" s="18">
        <v>5500000</v>
      </c>
      <c r="T2" s="18">
        <v>1.0999999999999999E-9</v>
      </c>
      <c r="U2" s="18">
        <v>4.9E-9</v>
      </c>
      <c r="V2" s="18">
        <f>R2+(S2^2*(N2*1000)^2/((96485^2)*U2))^(1/3)</f>
        <v>31817631.387622166</v>
      </c>
      <c r="W2" s="26">
        <f>(V2/(Q2*20) + 1)^-1</f>
        <v>0.48529843875588774</v>
      </c>
      <c r="X2" s="18">
        <f>((3.14/4)*(96485^2)*U2/((N2*1000)^2))*(20-0.25*V2/Q2)^2</f>
        <v>1.5925514268935048E-7</v>
      </c>
      <c r="Y2" s="18">
        <f>X2/P2</f>
        <v>3.1851028537870094E-3</v>
      </c>
      <c r="Z2" s="24">
        <f>SQRT(1/Y2)</f>
        <v>17.71896169993407</v>
      </c>
      <c r="AA2" s="28">
        <f>1 - SQRT(100/D2) + SQRT(100/D2 - 1)</f>
        <v>0.88676298854109437</v>
      </c>
    </row>
    <row r="3" spans="1:27" s="13" customFormat="1" x14ac:dyDescent="0.25">
      <c r="A3" s="16" t="s">
        <v>127</v>
      </c>
      <c r="B3" s="16" t="s">
        <v>123</v>
      </c>
      <c r="C3" s="17">
        <v>1.8</v>
      </c>
      <c r="D3" s="17">
        <v>10</v>
      </c>
      <c r="E3" s="18">
        <v>1000</v>
      </c>
      <c r="F3" s="17">
        <v>15</v>
      </c>
      <c r="G3" s="16">
        <v>0.6</v>
      </c>
      <c r="H3" s="30">
        <f t="shared" ref="H3:H27" si="1">G3/F3</f>
        <v>0.04</v>
      </c>
      <c r="I3" s="17">
        <v>1.3</v>
      </c>
      <c r="J3" s="19">
        <v>2.0185</v>
      </c>
      <c r="K3" s="19">
        <v>7.0699999999999999E-2</v>
      </c>
      <c r="L3" s="16">
        <v>2.7000000000000001E-3</v>
      </c>
      <c r="M3" s="30">
        <f t="shared" ref="M3:M27" si="2">L3/K3</f>
        <v>3.818953323903819E-2</v>
      </c>
      <c r="N3" s="16">
        <f t="shared" ref="N3:N26" si="3">F3/K3</f>
        <v>212.16407355021218</v>
      </c>
      <c r="O3" s="16"/>
      <c r="P3" s="18">
        <f t="shared" si="0"/>
        <v>1E-4</v>
      </c>
      <c r="Q3" s="18">
        <v>1500000</v>
      </c>
      <c r="R3" s="18">
        <v>1000</v>
      </c>
      <c r="S3" s="18">
        <v>5500000</v>
      </c>
      <c r="T3" s="18">
        <v>1.0999999999999999E-9</v>
      </c>
      <c r="U3" s="18">
        <v>4.9E-9</v>
      </c>
      <c r="V3" s="18">
        <f t="shared" ref="V3:V27" si="4">R3+(S3^2*(N3*1000)^2/((96485^2)*U3))^(1/3)</f>
        <v>31021666.810648922</v>
      </c>
      <c r="W3" s="26">
        <f t="shared" ref="W3:W27" si="5">(V3/(Q3*20) + 1)^-1</f>
        <v>0.49162865532812167</v>
      </c>
      <c r="X3" s="18">
        <f t="shared" ref="X3:X27" si="6">((3.14/4)*(96485^2)*U3/((N3*1000)^2))*(20-0.25*V3/Q3)^2</f>
        <v>1.7494747541042565E-7</v>
      </c>
      <c r="Y3" s="18">
        <f t="shared" ref="Y3:Y27" si="7">X3/P3</f>
        <v>1.7494747541042565E-3</v>
      </c>
      <c r="Z3" s="24">
        <f t="shared" ref="Z3:Z27" si="8">SQRT(1/Y3)</f>
        <v>23.908160359691013</v>
      </c>
      <c r="AA3" s="28">
        <f t="shared" ref="AA3:AA27" si="9">1 - SQRT(100/D3) + SQRT(100/D3 - 1)</f>
        <v>0.83772233983162048</v>
      </c>
    </row>
    <row r="4" spans="1:27" s="13" customFormat="1" x14ac:dyDescent="0.25">
      <c r="A4" s="16" t="s">
        <v>127</v>
      </c>
      <c r="B4" s="16" t="s">
        <v>123</v>
      </c>
      <c r="C4" s="17">
        <v>4.8</v>
      </c>
      <c r="D4" s="17">
        <v>50</v>
      </c>
      <c r="E4" s="18">
        <v>1000</v>
      </c>
      <c r="F4" s="17">
        <v>14.2</v>
      </c>
      <c r="G4" s="16">
        <v>0.3</v>
      </c>
      <c r="H4" s="30">
        <f t="shared" si="1"/>
        <v>2.1126760563380281E-2</v>
      </c>
      <c r="I4" s="17">
        <v>7</v>
      </c>
      <c r="J4" s="19">
        <v>1.8979999999999999</v>
      </c>
      <c r="K4" s="19">
        <v>0.21</v>
      </c>
      <c r="L4" s="16">
        <v>6.1999999999999998E-3</v>
      </c>
      <c r="M4" s="30">
        <f t="shared" si="2"/>
        <v>2.9523809523809525E-2</v>
      </c>
      <c r="N4" s="16">
        <f t="shared" si="3"/>
        <v>67.61904761904762</v>
      </c>
      <c r="O4" s="16"/>
      <c r="P4" s="18">
        <f t="shared" si="0"/>
        <v>5.0000000000000001E-4</v>
      </c>
      <c r="Q4" s="18">
        <v>1500000</v>
      </c>
      <c r="R4" s="18">
        <v>1000</v>
      </c>
      <c r="S4" s="18">
        <v>5500000</v>
      </c>
      <c r="T4" s="18">
        <v>1.0999999999999999E-9</v>
      </c>
      <c r="U4" s="18">
        <v>4.9E-9</v>
      </c>
      <c r="V4" s="18">
        <f t="shared" si="4"/>
        <v>14474801.04686654</v>
      </c>
      <c r="W4" s="26">
        <f t="shared" si="5"/>
        <v>0.67453927378756973</v>
      </c>
      <c r="X4" s="18">
        <f t="shared" si="6"/>
        <v>2.4224626979347773E-6</v>
      </c>
      <c r="Y4" s="18">
        <f t="shared" si="7"/>
        <v>4.8449253958695541E-3</v>
      </c>
      <c r="Z4" s="24">
        <f t="shared" si="8"/>
        <v>14.366681141407513</v>
      </c>
      <c r="AA4" s="28">
        <f t="shared" si="9"/>
        <v>0.58578643762690485</v>
      </c>
    </row>
    <row r="5" spans="1:27" s="13" customFormat="1" x14ac:dyDescent="0.25">
      <c r="A5" s="16" t="s">
        <v>127</v>
      </c>
      <c r="B5" s="16" t="s">
        <v>123</v>
      </c>
      <c r="C5" s="17">
        <v>8</v>
      </c>
      <c r="D5" s="17">
        <v>50</v>
      </c>
      <c r="E5" s="18">
        <v>1000</v>
      </c>
      <c r="F5" s="17">
        <v>17.100000000000001</v>
      </c>
      <c r="G5" s="16">
        <v>0.3</v>
      </c>
      <c r="H5" s="30">
        <f t="shared" si="1"/>
        <v>1.7543859649122806E-2</v>
      </c>
      <c r="I5" s="17">
        <v>8.4</v>
      </c>
      <c r="J5" s="19">
        <v>1.9036</v>
      </c>
      <c r="K5" s="19">
        <v>0.2445</v>
      </c>
      <c r="L5" s="16">
        <v>8.3000000000000001E-3</v>
      </c>
      <c r="M5" s="30">
        <f t="shared" si="2"/>
        <v>3.3946830265848674E-2</v>
      </c>
      <c r="N5" s="16">
        <f t="shared" si="3"/>
        <v>69.938650306748471</v>
      </c>
      <c r="O5" s="16"/>
      <c r="P5" s="18">
        <f t="shared" si="0"/>
        <v>5.0000000000000001E-4</v>
      </c>
      <c r="Q5" s="18">
        <v>1500000</v>
      </c>
      <c r="R5" s="18">
        <v>1000</v>
      </c>
      <c r="S5" s="18">
        <v>5500000</v>
      </c>
      <c r="T5" s="18">
        <v>1.0999999999999999E-9</v>
      </c>
      <c r="U5" s="18">
        <v>4.9E-9</v>
      </c>
      <c r="V5" s="18">
        <f t="shared" si="4"/>
        <v>14803942.885218341</v>
      </c>
      <c r="W5" s="26">
        <f t="shared" si="5"/>
        <v>0.66958392650521747</v>
      </c>
      <c r="X5" s="18">
        <f t="shared" si="6"/>
        <v>2.2503354869919968E-6</v>
      </c>
      <c r="Y5" s="18">
        <f t="shared" si="7"/>
        <v>4.5006709739839933E-3</v>
      </c>
      <c r="Z5" s="24">
        <f t="shared" si="8"/>
        <v>14.906008608755425</v>
      </c>
      <c r="AA5" s="28">
        <f t="shared" si="9"/>
        <v>0.58578643762690485</v>
      </c>
    </row>
    <row r="6" spans="1:27" s="13" customFormat="1" x14ac:dyDescent="0.25">
      <c r="A6" s="16" t="s">
        <v>127</v>
      </c>
      <c r="B6" s="16" t="s">
        <v>123</v>
      </c>
      <c r="C6" s="17">
        <v>2.4</v>
      </c>
      <c r="D6" s="17">
        <v>5</v>
      </c>
      <c r="E6" s="18">
        <v>2000</v>
      </c>
      <c r="F6" s="17">
        <v>22.2</v>
      </c>
      <c r="G6" s="16">
        <v>1.2</v>
      </c>
      <c r="H6" s="30">
        <f t="shared" si="1"/>
        <v>5.4054054054054057E-2</v>
      </c>
      <c r="I6" s="17">
        <v>0.9</v>
      </c>
      <c r="J6" s="19">
        <v>1.9774</v>
      </c>
      <c r="K6" s="19">
        <v>0.1183</v>
      </c>
      <c r="L6" s="16">
        <v>4.4000000000000003E-3</v>
      </c>
      <c r="M6" s="30">
        <f t="shared" si="2"/>
        <v>3.7193575655114115E-2</v>
      </c>
      <c r="N6" s="16">
        <f t="shared" si="3"/>
        <v>187.65849535080304</v>
      </c>
      <c r="O6" s="16"/>
      <c r="P6" s="18">
        <f t="shared" si="0"/>
        <v>2.5000000000000001E-5</v>
      </c>
      <c r="Q6" s="18">
        <v>1500000</v>
      </c>
      <c r="R6" s="18">
        <v>1000</v>
      </c>
      <c r="S6" s="18">
        <v>5500000</v>
      </c>
      <c r="T6" s="18">
        <v>1.0999999999999999E-9</v>
      </c>
      <c r="U6" s="18">
        <v>4.9E-9</v>
      </c>
      <c r="V6" s="18">
        <f t="shared" si="4"/>
        <v>28584498.624215472</v>
      </c>
      <c r="W6" s="26">
        <f t="shared" si="5"/>
        <v>0.51208085252093838</v>
      </c>
      <c r="X6" s="18">
        <f t="shared" si="6"/>
        <v>2.3604025208394793E-7</v>
      </c>
      <c r="Y6" s="18">
        <f t="shared" si="7"/>
        <v>9.4416100833579174E-3</v>
      </c>
      <c r="Z6" s="24">
        <f t="shared" si="8"/>
        <v>10.291459503319425</v>
      </c>
      <c r="AA6" s="28">
        <f t="shared" si="9"/>
        <v>0.88676298854109437</v>
      </c>
    </row>
    <row r="7" spans="1:27" s="13" customFormat="1" x14ac:dyDescent="0.25">
      <c r="A7" s="16" t="s">
        <v>127</v>
      </c>
      <c r="B7" s="16" t="s">
        <v>123</v>
      </c>
      <c r="C7" s="17">
        <v>3.5</v>
      </c>
      <c r="D7" s="17">
        <v>10</v>
      </c>
      <c r="E7" s="18">
        <v>2000</v>
      </c>
      <c r="F7" s="17">
        <v>23.1</v>
      </c>
      <c r="G7" s="16">
        <v>0.9</v>
      </c>
      <c r="H7" s="30">
        <f t="shared" si="1"/>
        <v>3.896103896103896E-2</v>
      </c>
      <c r="I7" s="17">
        <v>2.1</v>
      </c>
      <c r="J7" s="19">
        <v>2.0148000000000001</v>
      </c>
      <c r="K7" s="19">
        <v>0.1041</v>
      </c>
      <c r="L7" s="16">
        <v>3.2000000000000002E-3</v>
      </c>
      <c r="M7" s="30">
        <f t="shared" si="2"/>
        <v>3.0739673390970224E-2</v>
      </c>
      <c r="N7" s="16">
        <f t="shared" si="3"/>
        <v>221.9020172910663</v>
      </c>
      <c r="O7" s="16"/>
      <c r="P7" s="18">
        <f t="shared" si="0"/>
        <v>5.0000000000000002E-5</v>
      </c>
      <c r="Q7" s="18">
        <v>1500000</v>
      </c>
      <c r="R7" s="18">
        <v>1000</v>
      </c>
      <c r="S7" s="18">
        <v>5500000</v>
      </c>
      <c r="T7" s="18">
        <v>1.0999999999999999E-9</v>
      </c>
      <c r="U7" s="18">
        <v>4.9E-9</v>
      </c>
      <c r="V7" s="18">
        <f t="shared" si="4"/>
        <v>31963744.690620057</v>
      </c>
      <c r="W7" s="26">
        <f t="shared" si="5"/>
        <v>0.4841540831624615</v>
      </c>
      <c r="X7" s="18">
        <f t="shared" si="6"/>
        <v>1.5656095437094009E-7</v>
      </c>
      <c r="Y7" s="18">
        <f t="shared" si="7"/>
        <v>3.1312190874188016E-3</v>
      </c>
      <c r="Z7" s="24">
        <f t="shared" si="8"/>
        <v>17.870770277205217</v>
      </c>
      <c r="AA7" s="28">
        <f t="shared" si="9"/>
        <v>0.83772233983162048</v>
      </c>
    </row>
    <row r="8" spans="1:27" s="13" customFormat="1" x14ac:dyDescent="0.25">
      <c r="A8" s="16" t="s">
        <v>127</v>
      </c>
      <c r="B8" s="16" t="s">
        <v>123</v>
      </c>
      <c r="C8" s="17">
        <v>2.8</v>
      </c>
      <c r="D8" s="17">
        <v>15</v>
      </c>
      <c r="E8" s="18">
        <v>2000</v>
      </c>
      <c r="F8" s="17">
        <v>14.9</v>
      </c>
      <c r="G8" s="16">
        <v>0.6</v>
      </c>
      <c r="H8" s="30">
        <f t="shared" si="1"/>
        <v>4.0268456375838924E-2</v>
      </c>
      <c r="I8" s="17">
        <v>2.1</v>
      </c>
      <c r="J8" s="19">
        <v>2.0097</v>
      </c>
      <c r="K8" s="19">
        <v>6.2799999999999995E-2</v>
      </c>
      <c r="L8" s="16">
        <v>2.3999999999999998E-3</v>
      </c>
      <c r="M8" s="30">
        <f t="shared" si="2"/>
        <v>3.8216560509554139E-2</v>
      </c>
      <c r="N8" s="16">
        <f t="shared" si="3"/>
        <v>237.26114649681531</v>
      </c>
      <c r="O8" s="16"/>
      <c r="P8" s="18">
        <f t="shared" si="0"/>
        <v>7.4999999999999993E-5</v>
      </c>
      <c r="Q8" s="18">
        <v>1500000</v>
      </c>
      <c r="R8" s="18">
        <v>1000</v>
      </c>
      <c r="S8" s="18">
        <v>5500000</v>
      </c>
      <c r="T8" s="18">
        <v>1.0999999999999999E-9</v>
      </c>
      <c r="U8" s="18">
        <v>4.9E-9</v>
      </c>
      <c r="V8" s="18">
        <f t="shared" si="4"/>
        <v>33422118.631380659</v>
      </c>
      <c r="W8" s="26">
        <f t="shared" si="5"/>
        <v>0.47302109496475075</v>
      </c>
      <c r="X8" s="18">
        <f t="shared" si="6"/>
        <v>1.3244741824559586E-7</v>
      </c>
      <c r="Y8" s="18">
        <f t="shared" si="7"/>
        <v>1.765965576607945E-3</v>
      </c>
      <c r="Z8" s="24">
        <f t="shared" si="8"/>
        <v>23.796269736726266</v>
      </c>
      <c r="AA8" s="28">
        <f t="shared" si="9"/>
        <v>0.79848724537600546</v>
      </c>
    </row>
    <row r="9" spans="1:27" s="13" customFormat="1" x14ac:dyDescent="0.25">
      <c r="A9" s="16" t="s">
        <v>127</v>
      </c>
      <c r="B9" s="16" t="s">
        <v>123</v>
      </c>
      <c r="C9" s="17">
        <v>5</v>
      </c>
      <c r="D9" s="17">
        <v>15</v>
      </c>
      <c r="E9" s="18">
        <v>2000</v>
      </c>
      <c r="F9" s="17">
        <v>25</v>
      </c>
      <c r="G9" s="16">
        <v>0.8</v>
      </c>
      <c r="H9" s="30">
        <f t="shared" si="1"/>
        <v>3.2000000000000001E-2</v>
      </c>
      <c r="I9" s="17">
        <v>3.6</v>
      </c>
      <c r="J9" s="19">
        <v>2.0192000000000001</v>
      </c>
      <c r="K9" s="19">
        <v>0.1565</v>
      </c>
      <c r="L9" s="16">
        <v>3.3E-3</v>
      </c>
      <c r="M9" s="30">
        <f t="shared" si="2"/>
        <v>2.1086261980830672E-2</v>
      </c>
      <c r="N9" s="16">
        <f t="shared" si="3"/>
        <v>159.7444089456869</v>
      </c>
      <c r="O9" s="16"/>
      <c r="P9" s="18">
        <f t="shared" si="0"/>
        <v>7.4999999999999993E-5</v>
      </c>
      <c r="Q9" s="18">
        <v>1500000</v>
      </c>
      <c r="R9" s="18">
        <v>1000</v>
      </c>
      <c r="S9" s="18">
        <v>5500000</v>
      </c>
      <c r="T9" s="18">
        <v>1.0999999999999999E-9</v>
      </c>
      <c r="U9" s="18">
        <v>4.9E-9</v>
      </c>
      <c r="V9" s="18">
        <f t="shared" si="4"/>
        <v>25674614.160315808</v>
      </c>
      <c r="W9" s="26">
        <f t="shared" si="5"/>
        <v>0.53884522510770516</v>
      </c>
      <c r="X9" s="18">
        <f t="shared" si="6"/>
        <v>3.4680766341586693E-7</v>
      </c>
      <c r="Y9" s="18">
        <f t="shared" si="7"/>
        <v>4.6241021788782262E-3</v>
      </c>
      <c r="Z9" s="24">
        <f t="shared" si="8"/>
        <v>14.705719873955523</v>
      </c>
      <c r="AA9" s="28">
        <f t="shared" si="9"/>
        <v>0.79848724537600546</v>
      </c>
    </row>
    <row r="10" spans="1:27" s="13" customFormat="1" x14ac:dyDescent="0.25">
      <c r="A10" s="16" t="s">
        <v>127</v>
      </c>
      <c r="B10" s="16" t="s">
        <v>123</v>
      </c>
      <c r="C10" s="17">
        <v>3.4</v>
      </c>
      <c r="D10" s="17">
        <v>5</v>
      </c>
      <c r="E10" s="18">
        <v>4000</v>
      </c>
      <c r="F10" s="17">
        <v>20.8</v>
      </c>
      <c r="G10" s="16">
        <v>1.5</v>
      </c>
      <c r="H10" s="30">
        <f t="shared" si="1"/>
        <v>7.2115384615384609E-2</v>
      </c>
      <c r="I10" s="17">
        <v>0.8</v>
      </c>
      <c r="J10" s="19">
        <v>1.9913000000000001</v>
      </c>
      <c r="K10" s="19">
        <v>0.21429999999999999</v>
      </c>
      <c r="L10" s="16">
        <v>7.4000000000000003E-3</v>
      </c>
      <c r="M10" s="30">
        <f t="shared" si="2"/>
        <v>3.4531031264582367E-2</v>
      </c>
      <c r="N10" s="16">
        <f t="shared" si="3"/>
        <v>97.060195986934218</v>
      </c>
      <c r="O10" s="16"/>
      <c r="P10" s="18">
        <f t="shared" si="0"/>
        <v>1.2500000000000001E-5</v>
      </c>
      <c r="Q10" s="18">
        <v>1500000</v>
      </c>
      <c r="R10" s="18">
        <v>1000</v>
      </c>
      <c r="S10" s="18">
        <v>5500000</v>
      </c>
      <c r="T10" s="18">
        <v>1.0999999999999999E-9</v>
      </c>
      <c r="U10" s="18">
        <v>4.9E-9</v>
      </c>
      <c r="V10" s="18">
        <f t="shared" si="4"/>
        <v>18418499.842475303</v>
      </c>
      <c r="W10" s="26">
        <f t="shared" si="5"/>
        <v>0.61959788299104623</v>
      </c>
      <c r="X10" s="18">
        <f t="shared" si="6"/>
        <v>1.0895063227738918E-6</v>
      </c>
      <c r="Y10" s="18">
        <f t="shared" si="7"/>
        <v>8.7160505821911344E-2</v>
      </c>
      <c r="Z10" s="24">
        <f t="shared" si="8"/>
        <v>3.3871944496599435</v>
      </c>
      <c r="AA10" s="28">
        <f t="shared" si="9"/>
        <v>0.88676298854109437</v>
      </c>
    </row>
    <row r="11" spans="1:27" s="13" customFormat="1" x14ac:dyDescent="0.25">
      <c r="A11" s="16" t="s">
        <v>127</v>
      </c>
      <c r="B11" s="16" t="s">
        <v>123</v>
      </c>
      <c r="C11" s="17">
        <v>3.5</v>
      </c>
      <c r="D11" s="17">
        <v>10</v>
      </c>
      <c r="E11" s="18">
        <v>4000</v>
      </c>
      <c r="F11" s="17">
        <v>16.7</v>
      </c>
      <c r="G11" s="16">
        <v>0.9</v>
      </c>
      <c r="H11" s="30">
        <f t="shared" si="1"/>
        <v>5.3892215568862277E-2</v>
      </c>
      <c r="I11" s="17">
        <v>1.5</v>
      </c>
      <c r="J11" s="19">
        <v>2.0426000000000002</v>
      </c>
      <c r="K11" s="19">
        <v>0.11550000000000001</v>
      </c>
      <c r="L11" s="19">
        <v>4.1000000000000003E-3</v>
      </c>
      <c r="M11" s="30">
        <f t="shared" si="2"/>
        <v>3.54978354978355E-2</v>
      </c>
      <c r="N11" s="16">
        <f t="shared" si="3"/>
        <v>144.58874458874459</v>
      </c>
      <c r="O11" s="16"/>
      <c r="P11" s="18">
        <f t="shared" si="0"/>
        <v>2.5000000000000001E-5</v>
      </c>
      <c r="Q11" s="18">
        <v>1500000</v>
      </c>
      <c r="R11" s="18">
        <v>1000</v>
      </c>
      <c r="S11" s="18">
        <v>5500000</v>
      </c>
      <c r="T11" s="18">
        <v>1.0999999999999999E-9</v>
      </c>
      <c r="U11" s="18">
        <v>4.9E-9</v>
      </c>
      <c r="V11" s="18">
        <f t="shared" si="4"/>
        <v>24023943.699863963</v>
      </c>
      <c r="W11" s="26">
        <f t="shared" si="5"/>
        <v>0.5553093303715172</v>
      </c>
      <c r="X11" s="18">
        <f t="shared" si="6"/>
        <v>4.3826790292538898E-7</v>
      </c>
      <c r="Y11" s="18">
        <f t="shared" si="7"/>
        <v>1.7530716117015559E-2</v>
      </c>
      <c r="Z11" s="24">
        <f t="shared" si="8"/>
        <v>7.5526641228340461</v>
      </c>
      <c r="AA11" s="28">
        <f t="shared" si="9"/>
        <v>0.83772233983162048</v>
      </c>
    </row>
    <row r="12" spans="1:27" s="13" customFormat="1" x14ac:dyDescent="0.25">
      <c r="A12" s="16" t="s">
        <v>127</v>
      </c>
      <c r="B12" s="16" t="s">
        <v>123</v>
      </c>
      <c r="C12" s="17">
        <v>3.4</v>
      </c>
      <c r="D12" s="17">
        <v>5</v>
      </c>
      <c r="E12" s="18">
        <v>5000</v>
      </c>
      <c r="F12" s="17">
        <v>17.399999999999999</v>
      </c>
      <c r="G12" s="16">
        <v>1.5</v>
      </c>
      <c r="H12" s="30">
        <f t="shared" si="1"/>
        <v>8.6206896551724144E-2</v>
      </c>
      <c r="I12" s="17">
        <v>0.7</v>
      </c>
      <c r="J12" s="19">
        <v>2.0514999999999999</v>
      </c>
      <c r="K12" s="19">
        <v>0.2011</v>
      </c>
      <c r="L12" s="19">
        <v>5.4999999999999997E-3</v>
      </c>
      <c r="M12" s="30">
        <f t="shared" si="2"/>
        <v>2.7349577324714072E-2</v>
      </c>
      <c r="N12" s="16">
        <f t="shared" si="3"/>
        <v>86.524117354549972</v>
      </c>
      <c r="O12" s="16"/>
      <c r="P12" s="18">
        <f t="shared" si="0"/>
        <v>1.0000000000000001E-5</v>
      </c>
      <c r="Q12" s="18">
        <v>1500000</v>
      </c>
      <c r="R12" s="18">
        <v>1000</v>
      </c>
      <c r="S12" s="18">
        <v>5500000</v>
      </c>
      <c r="T12" s="18">
        <v>1.0999999999999999E-9</v>
      </c>
      <c r="U12" s="18">
        <v>4.9E-9</v>
      </c>
      <c r="V12" s="18">
        <f t="shared" si="4"/>
        <v>17060305.656794455</v>
      </c>
      <c r="W12" s="26">
        <f t="shared" si="5"/>
        <v>0.63747992243795959</v>
      </c>
      <c r="X12" s="18">
        <f t="shared" si="6"/>
        <v>1.4079078543278973E-6</v>
      </c>
      <c r="Y12" s="18">
        <f t="shared" si="7"/>
        <v>0.14079078543278972</v>
      </c>
      <c r="Z12" s="24">
        <f t="shared" si="8"/>
        <v>2.6650961636408894</v>
      </c>
      <c r="AA12" s="28">
        <f t="shared" si="9"/>
        <v>0.88676298854109437</v>
      </c>
    </row>
    <row r="13" spans="1:27" s="13" customFormat="1" x14ac:dyDescent="0.25">
      <c r="A13" s="16" t="s">
        <v>127</v>
      </c>
      <c r="B13" s="16" t="s">
        <v>123</v>
      </c>
      <c r="C13" s="17">
        <v>3.5</v>
      </c>
      <c r="D13" s="17">
        <v>10</v>
      </c>
      <c r="E13" s="18">
        <v>5000</v>
      </c>
      <c r="F13" s="17">
        <v>14.7</v>
      </c>
      <c r="G13" s="16">
        <v>1.1000000000000001</v>
      </c>
      <c r="H13" s="30">
        <f t="shared" si="1"/>
        <v>7.4829931972789129E-2</v>
      </c>
      <c r="I13" s="17">
        <v>1.3</v>
      </c>
      <c r="J13" s="19">
        <v>2.0375999999999999</v>
      </c>
      <c r="K13" s="19">
        <v>0.1012</v>
      </c>
      <c r="L13" s="19">
        <v>5.7000000000000002E-3</v>
      </c>
      <c r="M13" s="30">
        <f t="shared" si="2"/>
        <v>5.632411067193676E-2</v>
      </c>
      <c r="N13" s="16">
        <f t="shared" si="3"/>
        <v>145.25691699604744</v>
      </c>
      <c r="O13" s="16"/>
      <c r="P13" s="18">
        <f t="shared" si="0"/>
        <v>2.0000000000000002E-5</v>
      </c>
      <c r="Q13" s="18">
        <v>1500000</v>
      </c>
      <c r="R13" s="18">
        <v>1000</v>
      </c>
      <c r="S13" s="18">
        <v>5500000</v>
      </c>
      <c r="T13" s="18">
        <v>1.0999999999999999E-9</v>
      </c>
      <c r="U13" s="18">
        <v>4.9E-9</v>
      </c>
      <c r="V13" s="18">
        <f t="shared" si="4"/>
        <v>24097896.577597521</v>
      </c>
      <c r="W13" s="26">
        <f t="shared" si="5"/>
        <v>0.5545502117068134</v>
      </c>
      <c r="X13" s="18">
        <f t="shared" si="6"/>
        <v>4.3357622441161408E-7</v>
      </c>
      <c r="Y13" s="18">
        <f t="shared" si="7"/>
        <v>2.1678811220580702E-2</v>
      </c>
      <c r="Z13" s="24">
        <f t="shared" si="8"/>
        <v>6.7917590203625862</v>
      </c>
      <c r="AA13" s="28">
        <f t="shared" si="9"/>
        <v>0.83772233983162048</v>
      </c>
    </row>
    <row r="14" spans="1:27" s="13" customFormat="1" x14ac:dyDescent="0.25">
      <c r="A14" s="16" t="s">
        <v>127</v>
      </c>
      <c r="B14" s="16" t="s">
        <v>123</v>
      </c>
      <c r="C14" s="17">
        <v>3.8</v>
      </c>
      <c r="D14" s="17">
        <v>15</v>
      </c>
      <c r="E14" s="18">
        <v>5000</v>
      </c>
      <c r="F14" s="17">
        <v>13.4</v>
      </c>
      <c r="G14" s="16">
        <v>0.8</v>
      </c>
      <c r="H14" s="30">
        <f t="shared" si="1"/>
        <v>5.9701492537313432E-2</v>
      </c>
      <c r="I14" s="17">
        <v>1.8</v>
      </c>
      <c r="J14" s="19">
        <v>2.0287000000000002</v>
      </c>
      <c r="K14" s="19">
        <v>6.5500000000000003E-2</v>
      </c>
      <c r="L14" s="19">
        <v>2.8E-3</v>
      </c>
      <c r="M14" s="30">
        <f t="shared" si="2"/>
        <v>4.2748091603053436E-2</v>
      </c>
      <c r="N14" s="16">
        <f t="shared" si="3"/>
        <v>204.58015267175571</v>
      </c>
      <c r="O14" s="16"/>
      <c r="P14" s="18">
        <f t="shared" si="0"/>
        <v>3.0000000000000001E-5</v>
      </c>
      <c r="Q14" s="18">
        <v>1500000</v>
      </c>
      <c r="R14" s="18">
        <v>1000</v>
      </c>
      <c r="S14" s="18">
        <v>5500000</v>
      </c>
      <c r="T14" s="18">
        <v>1.0999999999999999E-9</v>
      </c>
      <c r="U14" s="18">
        <v>4.9E-9</v>
      </c>
      <c r="V14" s="18">
        <f t="shared" si="4"/>
        <v>30277957.492637079</v>
      </c>
      <c r="W14" s="26">
        <f t="shared" si="5"/>
        <v>0.49769436868633926</v>
      </c>
      <c r="X14" s="18">
        <f t="shared" si="6"/>
        <v>1.9131725672792092E-7</v>
      </c>
      <c r="Y14" s="18">
        <f t="shared" si="7"/>
        <v>6.3772418909306969E-3</v>
      </c>
      <c r="Z14" s="24">
        <f t="shared" si="8"/>
        <v>12.522284164637913</v>
      </c>
      <c r="AA14" s="28">
        <f t="shared" si="9"/>
        <v>0.79848724537600546</v>
      </c>
    </row>
    <row r="15" spans="1:27" s="13" customFormat="1" x14ac:dyDescent="0.25">
      <c r="A15" s="16" t="s">
        <v>127</v>
      </c>
      <c r="B15" s="16" t="s">
        <v>123</v>
      </c>
      <c r="C15" s="17">
        <v>4.4000000000000004</v>
      </c>
      <c r="D15" s="17">
        <v>15</v>
      </c>
      <c r="E15" s="18">
        <v>6000</v>
      </c>
      <c r="F15" s="17">
        <v>14</v>
      </c>
      <c r="G15" s="16">
        <v>0.9</v>
      </c>
      <c r="H15" s="30">
        <f t="shared" si="1"/>
        <v>6.4285714285714293E-2</v>
      </c>
      <c r="I15" s="17">
        <v>1.9</v>
      </c>
      <c r="J15" s="19">
        <v>2.0514999999999999</v>
      </c>
      <c r="K15" s="19">
        <v>8.3099999999999993E-2</v>
      </c>
      <c r="L15" s="19">
        <v>2.8E-3</v>
      </c>
      <c r="M15" s="30">
        <f t="shared" si="2"/>
        <v>3.3694344163658248E-2</v>
      </c>
      <c r="N15" s="16">
        <f t="shared" si="3"/>
        <v>168.47172081829123</v>
      </c>
      <c r="O15" s="16"/>
      <c r="P15" s="18">
        <f t="shared" si="0"/>
        <v>2.4999999999999998E-5</v>
      </c>
      <c r="Q15" s="18">
        <v>1500000</v>
      </c>
      <c r="R15" s="18">
        <v>1000</v>
      </c>
      <c r="S15" s="18">
        <v>5500000</v>
      </c>
      <c r="T15" s="18">
        <v>1.0999999999999999E-9</v>
      </c>
      <c r="U15" s="18">
        <v>4.9E-9</v>
      </c>
      <c r="V15" s="18">
        <f t="shared" si="4"/>
        <v>26601384.042531468</v>
      </c>
      <c r="W15" s="26">
        <f t="shared" si="5"/>
        <v>0.53002237502633098</v>
      </c>
      <c r="X15" s="18">
        <f t="shared" si="6"/>
        <v>3.0571003573127226E-7</v>
      </c>
      <c r="Y15" s="18">
        <f t="shared" si="7"/>
        <v>1.2228401429250892E-2</v>
      </c>
      <c r="Z15" s="24">
        <f t="shared" si="8"/>
        <v>9.0430546709026753</v>
      </c>
      <c r="AA15" s="28">
        <f t="shared" si="9"/>
        <v>0.79848724537600546</v>
      </c>
    </row>
    <row r="16" spans="1:27" s="13" customFormat="1" x14ac:dyDescent="0.25">
      <c r="A16" s="16" t="s">
        <v>127</v>
      </c>
      <c r="B16" s="16" t="s">
        <v>123</v>
      </c>
      <c r="C16" s="17">
        <v>5.3</v>
      </c>
      <c r="D16" s="17">
        <v>20</v>
      </c>
      <c r="E16" s="18">
        <v>9000</v>
      </c>
      <c r="F16" s="17">
        <v>11.9</v>
      </c>
      <c r="G16" s="16">
        <v>0.8</v>
      </c>
      <c r="H16" s="30">
        <f t="shared" si="1"/>
        <v>6.7226890756302518E-2</v>
      </c>
      <c r="I16" s="17">
        <v>2.2999999999999998</v>
      </c>
      <c r="J16" s="19">
        <v>2.0470000000000002</v>
      </c>
      <c r="K16" s="19">
        <v>8.14E-2</v>
      </c>
      <c r="L16" s="19">
        <v>1.8E-3</v>
      </c>
      <c r="M16" s="30">
        <f t="shared" si="2"/>
        <v>2.2113022113022112E-2</v>
      </c>
      <c r="N16" s="16">
        <f t="shared" si="3"/>
        <v>146.19164619164619</v>
      </c>
      <c r="O16" s="16"/>
      <c r="P16" s="18">
        <f t="shared" si="0"/>
        <v>2.2222222222222223E-5</v>
      </c>
      <c r="Q16" s="18">
        <v>1500000</v>
      </c>
      <c r="R16" s="18">
        <v>1000</v>
      </c>
      <c r="S16" s="18">
        <v>5500000</v>
      </c>
      <c r="T16" s="18">
        <v>1.0999999999999999E-9</v>
      </c>
      <c r="U16" s="18">
        <v>4.9E-9</v>
      </c>
      <c r="V16" s="18">
        <f t="shared" si="4"/>
        <v>24201161.812551029</v>
      </c>
      <c r="W16" s="26">
        <f t="shared" si="5"/>
        <v>0.55349367055547294</v>
      </c>
      <c r="X16" s="18">
        <f t="shared" si="6"/>
        <v>4.2712816474610987E-7</v>
      </c>
      <c r="Y16" s="18">
        <f t="shared" si="7"/>
        <v>1.9220767413574945E-2</v>
      </c>
      <c r="Z16" s="24">
        <f t="shared" si="8"/>
        <v>7.212978510083297</v>
      </c>
      <c r="AA16" s="28">
        <f t="shared" si="9"/>
        <v>0.76393202250021019</v>
      </c>
    </row>
    <row r="17" spans="1:27" s="13" customFormat="1" x14ac:dyDescent="0.25">
      <c r="A17" s="16" t="s">
        <v>127</v>
      </c>
      <c r="B17" s="16" t="s">
        <v>123</v>
      </c>
      <c r="C17" s="17">
        <v>1.7</v>
      </c>
      <c r="D17" s="17">
        <v>10</v>
      </c>
      <c r="E17" s="18">
        <v>500</v>
      </c>
      <c r="F17" s="17">
        <v>16.600000000000001</v>
      </c>
      <c r="G17" s="16">
        <v>0.4</v>
      </c>
      <c r="H17" s="30">
        <f t="shared" si="1"/>
        <v>2.4096385542168672E-2</v>
      </c>
      <c r="I17" s="17">
        <v>1.5</v>
      </c>
      <c r="J17" s="19">
        <v>2.0053000000000001</v>
      </c>
      <c r="K17" s="19">
        <v>0.10249999999999999</v>
      </c>
      <c r="L17" s="19">
        <v>3.7000000000000002E-3</v>
      </c>
      <c r="M17" s="30">
        <f t="shared" si="2"/>
        <v>3.609756097560976E-2</v>
      </c>
      <c r="N17" s="16">
        <f t="shared" si="3"/>
        <v>161.95121951219514</v>
      </c>
      <c r="O17" s="16"/>
      <c r="P17" s="18">
        <f t="shared" si="0"/>
        <v>2.0000000000000001E-4</v>
      </c>
      <c r="Q17" s="18">
        <v>1500000</v>
      </c>
      <c r="R17" s="18">
        <v>1000</v>
      </c>
      <c r="S17" s="18">
        <v>5500000</v>
      </c>
      <c r="T17" s="18">
        <v>1.0999999999999999E-9</v>
      </c>
      <c r="U17" s="18">
        <v>4.9E-9</v>
      </c>
      <c r="V17" s="18">
        <f t="shared" si="4"/>
        <v>25910520.794283651</v>
      </c>
      <c r="W17" s="26">
        <f t="shared" si="5"/>
        <v>0.5365716429360684</v>
      </c>
      <c r="X17" s="18">
        <f t="shared" si="6"/>
        <v>3.3573492586781218E-7</v>
      </c>
      <c r="Y17" s="18">
        <f t="shared" si="7"/>
        <v>1.6786746293390607E-3</v>
      </c>
      <c r="Z17" s="24">
        <f t="shared" si="8"/>
        <v>24.40713125175456</v>
      </c>
      <c r="AA17" s="28">
        <f t="shared" si="9"/>
        <v>0.83772233983162048</v>
      </c>
    </row>
    <row r="18" spans="1:27" s="14" customFormat="1" x14ac:dyDescent="0.25">
      <c r="A18" s="20" t="s">
        <v>127</v>
      </c>
      <c r="B18" s="20" t="s">
        <v>123</v>
      </c>
      <c r="C18" s="21">
        <v>3</v>
      </c>
      <c r="D18" s="21">
        <v>25</v>
      </c>
      <c r="E18" s="22">
        <v>500</v>
      </c>
      <c r="F18" s="21">
        <v>12.2</v>
      </c>
      <c r="G18" s="20">
        <v>0.6</v>
      </c>
      <c r="H18" s="31">
        <f t="shared" si="1"/>
        <v>4.9180327868852458E-2</v>
      </c>
      <c r="I18" s="21">
        <v>2.2999999999999998</v>
      </c>
      <c r="J18" s="23">
        <v>1.3895</v>
      </c>
      <c r="K18" s="23">
        <v>0.1249</v>
      </c>
      <c r="L18" s="23">
        <v>1.4E-3</v>
      </c>
      <c r="M18" s="31">
        <f t="shared" si="2"/>
        <v>1.1208967173738992E-2</v>
      </c>
      <c r="N18" s="20">
        <f t="shared" si="3"/>
        <v>97.678142514011199</v>
      </c>
      <c r="O18" s="20"/>
      <c r="P18" s="22">
        <f t="shared" si="0"/>
        <v>5.0000000000000001E-4</v>
      </c>
      <c r="Q18" s="22">
        <v>1500000</v>
      </c>
      <c r="R18" s="22">
        <v>1000</v>
      </c>
      <c r="S18" s="22">
        <v>5500000</v>
      </c>
      <c r="T18" s="22">
        <v>1.0999999999999999E-9</v>
      </c>
      <c r="U18" s="22">
        <v>4.9E-9</v>
      </c>
      <c r="V18" s="22">
        <f t="shared" si="4"/>
        <v>18496588.754369058</v>
      </c>
      <c r="W18" s="27">
        <f t="shared" si="5"/>
        <v>0.61860021025287681</v>
      </c>
      <c r="X18" s="22">
        <f t="shared" si="6"/>
        <v>1.0741114090118208E-6</v>
      </c>
      <c r="Y18" s="22">
        <f t="shared" si="7"/>
        <v>2.1482228180236414E-3</v>
      </c>
      <c r="Z18" s="25">
        <f t="shared" si="8"/>
        <v>21.575473587135203</v>
      </c>
      <c r="AA18" s="29">
        <f t="shared" si="9"/>
        <v>0.73205080756887719</v>
      </c>
    </row>
    <row r="19" spans="1:27" s="14" customFormat="1" x14ac:dyDescent="0.25">
      <c r="A19" s="20" t="s">
        <v>127</v>
      </c>
      <c r="B19" s="20" t="s">
        <v>123</v>
      </c>
      <c r="C19" s="21">
        <v>4.5999999999999996</v>
      </c>
      <c r="D19" s="21">
        <v>50</v>
      </c>
      <c r="E19" s="22">
        <v>500</v>
      </c>
      <c r="F19" s="21">
        <v>10.3</v>
      </c>
      <c r="G19" s="20">
        <v>0.7</v>
      </c>
      <c r="H19" s="31">
        <f t="shared" si="1"/>
        <v>6.7961165048543687E-2</v>
      </c>
      <c r="I19" s="21">
        <v>4.5999999999999996</v>
      </c>
      <c r="J19" s="23">
        <v>1.3973</v>
      </c>
      <c r="K19" s="23">
        <v>0.1633</v>
      </c>
      <c r="L19" s="23">
        <v>2.0999999999999999E-3</v>
      </c>
      <c r="M19" s="31">
        <f t="shared" si="2"/>
        <v>1.2859767299448866E-2</v>
      </c>
      <c r="N19" s="20">
        <f t="shared" si="3"/>
        <v>63.074096754439687</v>
      </c>
      <c r="O19" s="20"/>
      <c r="P19" s="22">
        <f t="shared" si="0"/>
        <v>1E-3</v>
      </c>
      <c r="Q19" s="22">
        <v>1500000</v>
      </c>
      <c r="R19" s="22">
        <v>1000</v>
      </c>
      <c r="S19" s="22">
        <v>5500000</v>
      </c>
      <c r="T19" s="22">
        <v>1.0999999999999999E-9</v>
      </c>
      <c r="U19" s="22">
        <v>4.9E-9</v>
      </c>
      <c r="V19" s="22">
        <f t="shared" si="4"/>
        <v>13818747.708324205</v>
      </c>
      <c r="W19" s="27">
        <f t="shared" si="5"/>
        <v>0.68463846113751281</v>
      </c>
      <c r="X19" s="22">
        <f t="shared" si="6"/>
        <v>2.8188790669927818E-6</v>
      </c>
      <c r="Y19" s="22">
        <f t="shared" si="7"/>
        <v>2.8188790669927818E-3</v>
      </c>
      <c r="Z19" s="25">
        <f t="shared" si="8"/>
        <v>18.83483316727752</v>
      </c>
      <c r="AA19" s="29">
        <f t="shared" si="9"/>
        <v>0.58578643762690485</v>
      </c>
    </row>
    <row r="20" spans="1:27" s="14" customFormat="1" x14ac:dyDescent="0.25">
      <c r="A20" s="20" t="s">
        <v>127</v>
      </c>
      <c r="B20" s="20" t="s">
        <v>123</v>
      </c>
      <c r="C20" s="21">
        <v>5.5</v>
      </c>
      <c r="D20" s="21">
        <v>75</v>
      </c>
      <c r="E20" s="22">
        <v>5000</v>
      </c>
      <c r="F20" s="21"/>
      <c r="G20" s="20"/>
      <c r="H20" s="31"/>
      <c r="I20" s="21"/>
      <c r="J20" s="23">
        <v>1.4188000000000001</v>
      </c>
      <c r="K20" s="23">
        <v>0.13750000000000001</v>
      </c>
      <c r="L20" s="23">
        <v>1.8E-3</v>
      </c>
      <c r="M20" s="31">
        <f t="shared" si="2"/>
        <v>1.3090909090909089E-2</v>
      </c>
      <c r="N20" s="20">
        <f t="shared" si="3"/>
        <v>0</v>
      </c>
      <c r="O20" s="20"/>
      <c r="P20" s="22">
        <f t="shared" si="0"/>
        <v>1.5000000000000001E-4</v>
      </c>
      <c r="Q20" s="22">
        <v>1500000</v>
      </c>
      <c r="R20" s="22">
        <v>1000</v>
      </c>
      <c r="S20" s="22">
        <v>5500000</v>
      </c>
      <c r="T20" s="22">
        <v>1.0999999999999999E-9</v>
      </c>
      <c r="U20" s="22">
        <v>4.9E-9</v>
      </c>
      <c r="V20" s="22"/>
      <c r="W20" s="27">
        <f t="shared" si="5"/>
        <v>1</v>
      </c>
      <c r="X20" s="22" t="e">
        <f t="shared" si="6"/>
        <v>#DIV/0!</v>
      </c>
      <c r="Y20" s="22" t="e">
        <f t="shared" si="7"/>
        <v>#DIV/0!</v>
      </c>
      <c r="Z20" s="25" t="e">
        <f t="shared" si="8"/>
        <v>#DIV/0!</v>
      </c>
      <c r="AA20" s="29">
        <f t="shared" si="9"/>
        <v>0.42264973081037427</v>
      </c>
    </row>
    <row r="21" spans="1:27" s="14" customFormat="1" x14ac:dyDescent="0.25">
      <c r="A21" s="20" t="s">
        <v>127</v>
      </c>
      <c r="B21" s="20" t="s">
        <v>123</v>
      </c>
      <c r="C21" s="21">
        <v>5</v>
      </c>
      <c r="D21" s="21">
        <v>25</v>
      </c>
      <c r="E21" s="22">
        <v>1000</v>
      </c>
      <c r="F21" s="21">
        <v>19.3</v>
      </c>
      <c r="G21" s="20">
        <v>0.4</v>
      </c>
      <c r="H21" s="31">
        <f t="shared" si="1"/>
        <v>2.072538860103627E-2</v>
      </c>
      <c r="I21" s="21">
        <v>4.5999999999999996</v>
      </c>
      <c r="J21" s="23">
        <v>1.339</v>
      </c>
      <c r="K21" s="23">
        <v>0.15079999999999999</v>
      </c>
      <c r="L21" s="23">
        <v>1.6999999999999999E-3</v>
      </c>
      <c r="M21" s="31">
        <f t="shared" si="2"/>
        <v>1.1273209549071617E-2</v>
      </c>
      <c r="N21" s="20">
        <f t="shared" si="3"/>
        <v>127.98408488063662</v>
      </c>
      <c r="O21" s="20"/>
      <c r="P21" s="22">
        <f t="shared" si="0"/>
        <v>2.5000000000000001E-4</v>
      </c>
      <c r="Q21" s="22">
        <v>1500000</v>
      </c>
      <c r="R21" s="22">
        <v>1000</v>
      </c>
      <c r="S21" s="22">
        <v>5500000</v>
      </c>
      <c r="T21" s="22">
        <v>1.0999999999999999E-9</v>
      </c>
      <c r="U21" s="22">
        <v>4.9E-9</v>
      </c>
      <c r="V21" s="22">
        <f t="shared" si="4"/>
        <v>22147607.587212667</v>
      </c>
      <c r="W21" s="27">
        <f t="shared" si="5"/>
        <v>0.57529005429112778</v>
      </c>
      <c r="X21" s="22">
        <f t="shared" si="6"/>
        <v>5.814519080101159E-7</v>
      </c>
      <c r="Y21" s="22">
        <f t="shared" si="7"/>
        <v>2.3258076320404634E-3</v>
      </c>
      <c r="Z21" s="25">
        <f t="shared" si="8"/>
        <v>20.735432787977501</v>
      </c>
      <c r="AA21" s="29">
        <f t="shared" si="9"/>
        <v>0.73205080756887719</v>
      </c>
    </row>
    <row r="22" spans="1:27" s="14" customFormat="1" x14ac:dyDescent="0.25">
      <c r="A22" s="20" t="s">
        <v>127</v>
      </c>
      <c r="B22" s="20" t="s">
        <v>123</v>
      </c>
      <c r="C22" s="21">
        <v>5</v>
      </c>
      <c r="D22" s="21">
        <v>50</v>
      </c>
      <c r="E22" s="22">
        <v>1000</v>
      </c>
      <c r="F22" s="21">
        <v>11.4</v>
      </c>
      <c r="G22" s="20">
        <v>0.3</v>
      </c>
      <c r="H22" s="31">
        <f t="shared" si="1"/>
        <v>2.6315789473684209E-2</v>
      </c>
      <c r="I22" s="21">
        <v>5.6</v>
      </c>
      <c r="J22" s="23">
        <v>1.3587</v>
      </c>
      <c r="K22" s="23">
        <v>0.1361</v>
      </c>
      <c r="L22" s="23">
        <v>1.2999999999999999E-3</v>
      </c>
      <c r="M22" s="31">
        <f t="shared" si="2"/>
        <v>9.5518001469507719E-3</v>
      </c>
      <c r="N22" s="20">
        <f t="shared" si="3"/>
        <v>83.761939750183686</v>
      </c>
      <c r="O22" s="20"/>
      <c r="P22" s="22">
        <f t="shared" si="0"/>
        <v>5.0000000000000001E-4</v>
      </c>
      <c r="Q22" s="22">
        <v>1500000</v>
      </c>
      <c r="R22" s="22">
        <v>1000</v>
      </c>
      <c r="S22" s="22">
        <v>5500000</v>
      </c>
      <c r="T22" s="22">
        <v>1.0999999999999999E-9</v>
      </c>
      <c r="U22" s="22">
        <v>4.9E-9</v>
      </c>
      <c r="V22" s="22">
        <f t="shared" si="4"/>
        <v>16695280.883422954</v>
      </c>
      <c r="W22" s="27">
        <f t="shared" si="5"/>
        <v>0.6424632089674428</v>
      </c>
      <c r="X22" s="22">
        <f t="shared" si="6"/>
        <v>1.5129678813124419E-6</v>
      </c>
      <c r="Y22" s="22">
        <f t="shared" si="7"/>
        <v>3.0259357626248838E-3</v>
      </c>
      <c r="Z22" s="25">
        <f t="shared" si="8"/>
        <v>18.179006624862179</v>
      </c>
      <c r="AA22" s="29">
        <f t="shared" si="9"/>
        <v>0.58578643762690485</v>
      </c>
    </row>
    <row r="23" spans="1:27" s="14" customFormat="1" x14ac:dyDescent="0.25">
      <c r="A23" s="20" t="s">
        <v>127</v>
      </c>
      <c r="B23" s="20" t="s">
        <v>123</v>
      </c>
      <c r="C23" s="21">
        <v>5</v>
      </c>
      <c r="D23" s="21">
        <v>50</v>
      </c>
      <c r="E23" s="22">
        <v>5000</v>
      </c>
      <c r="F23" s="21">
        <v>8.5</v>
      </c>
      <c r="G23" s="20">
        <v>0.9</v>
      </c>
      <c r="H23" s="31">
        <f t="shared" si="1"/>
        <v>0.10588235294117647</v>
      </c>
      <c r="I23" s="21">
        <v>3.8</v>
      </c>
      <c r="J23" s="23">
        <v>1.3958999999999999</v>
      </c>
      <c r="K23" s="23">
        <v>0.10580000000000001</v>
      </c>
      <c r="L23" s="23">
        <v>1.1999999999999999E-3</v>
      </c>
      <c r="M23" s="31">
        <f t="shared" si="2"/>
        <v>1.1342155009451795E-2</v>
      </c>
      <c r="N23" s="20">
        <f t="shared" si="3"/>
        <v>80.340264650283544</v>
      </c>
      <c r="O23" s="20"/>
      <c r="P23" s="22">
        <f t="shared" si="0"/>
        <v>1E-4</v>
      </c>
      <c r="Q23" s="22">
        <v>1500000</v>
      </c>
      <c r="R23" s="22">
        <v>1000</v>
      </c>
      <c r="S23" s="22">
        <v>5500000</v>
      </c>
      <c r="T23" s="22">
        <v>1.0999999999999999E-9</v>
      </c>
      <c r="U23" s="22">
        <v>4.9E-9</v>
      </c>
      <c r="V23" s="22">
        <f t="shared" si="4"/>
        <v>16237487.064706314</v>
      </c>
      <c r="W23" s="27">
        <f t="shared" si="5"/>
        <v>0.64882418800176089</v>
      </c>
      <c r="X23" s="22">
        <f t="shared" si="6"/>
        <v>1.6591944424542202E-6</v>
      </c>
      <c r="Y23" s="22">
        <f t="shared" si="7"/>
        <v>1.6591944424542201E-2</v>
      </c>
      <c r="Z23" s="25">
        <f t="shared" si="8"/>
        <v>7.7633891774331847</v>
      </c>
      <c r="AA23" s="29">
        <f t="shared" si="9"/>
        <v>0.58578643762690485</v>
      </c>
    </row>
    <row r="24" spans="1:27" s="14" customFormat="1" x14ac:dyDescent="0.25">
      <c r="A24" s="20" t="s">
        <v>127</v>
      </c>
      <c r="B24" s="20" t="s">
        <v>123</v>
      </c>
      <c r="C24" s="21">
        <v>6.5</v>
      </c>
      <c r="D24" s="21">
        <v>90</v>
      </c>
      <c r="E24" s="22">
        <v>500</v>
      </c>
      <c r="F24" s="21">
        <v>8.6</v>
      </c>
      <c r="G24" s="20">
        <v>0.8</v>
      </c>
      <c r="H24" s="31">
        <f t="shared" si="1"/>
        <v>9.3023255813953501E-2</v>
      </c>
      <c r="I24" s="21">
        <v>7.6</v>
      </c>
      <c r="J24" s="23">
        <v>1.3028999999999999</v>
      </c>
      <c r="K24" s="23">
        <v>0.19919999999999999</v>
      </c>
      <c r="L24" s="23">
        <v>3.3999999999999998E-3</v>
      </c>
      <c r="M24" s="31">
        <f t="shared" si="2"/>
        <v>1.7068273092369479E-2</v>
      </c>
      <c r="N24" s="20">
        <f t="shared" si="3"/>
        <v>43.172690763052209</v>
      </c>
      <c r="O24" s="20"/>
      <c r="P24" s="22">
        <f t="shared" si="0"/>
        <v>1.8000000000000002E-3</v>
      </c>
      <c r="Q24" s="22">
        <v>1500000</v>
      </c>
      <c r="R24" s="22">
        <v>1000</v>
      </c>
      <c r="S24" s="22">
        <v>5500000</v>
      </c>
      <c r="T24" s="22">
        <v>1.0999999999999999E-9</v>
      </c>
      <c r="U24" s="22">
        <v>4.9E-9</v>
      </c>
      <c r="V24" s="22">
        <f t="shared" si="4"/>
        <v>10732884.177796731</v>
      </c>
      <c r="W24" s="27">
        <f t="shared" si="5"/>
        <v>0.73650566625853697</v>
      </c>
      <c r="X24" s="22">
        <f t="shared" si="6"/>
        <v>6.3715275240600133E-6</v>
      </c>
      <c r="Y24" s="22">
        <f t="shared" si="7"/>
        <v>3.5397375133666737E-3</v>
      </c>
      <c r="Z24" s="25">
        <f t="shared" si="8"/>
        <v>16.807939291854876</v>
      </c>
      <c r="AA24" s="29">
        <f t="shared" si="9"/>
        <v>0.27924077994387358</v>
      </c>
    </row>
    <row r="25" spans="1:27" s="14" customFormat="1" x14ac:dyDescent="0.25">
      <c r="A25" s="20" t="s">
        <v>127</v>
      </c>
      <c r="B25" s="20" t="s">
        <v>123</v>
      </c>
      <c r="C25" s="21">
        <v>6</v>
      </c>
      <c r="D25" s="21">
        <v>50</v>
      </c>
      <c r="E25" s="22">
        <v>9000</v>
      </c>
      <c r="F25" s="21">
        <v>8.3000000000000007</v>
      </c>
      <c r="G25" s="20">
        <v>0.9</v>
      </c>
      <c r="H25" s="31">
        <f t="shared" si="1"/>
        <v>0.10843373493975902</v>
      </c>
      <c r="I25" s="21">
        <v>3.6</v>
      </c>
      <c r="J25" s="23">
        <v>1.3882000000000001</v>
      </c>
      <c r="K25" s="23">
        <v>8.5099999999999995E-2</v>
      </c>
      <c r="L25" s="23">
        <v>1E-3</v>
      </c>
      <c r="M25" s="31">
        <f t="shared" si="2"/>
        <v>1.1750881316098709E-2</v>
      </c>
      <c r="N25" s="20">
        <f t="shared" si="3"/>
        <v>97.532314923619282</v>
      </c>
      <c r="O25" s="20"/>
      <c r="P25" s="22">
        <f t="shared" si="0"/>
        <v>5.5555555555555558E-5</v>
      </c>
      <c r="Q25" s="22">
        <v>1500000</v>
      </c>
      <c r="R25" s="22">
        <v>1000</v>
      </c>
      <c r="S25" s="22">
        <v>5500000</v>
      </c>
      <c r="T25" s="22">
        <v>1.0999999999999999E-9</v>
      </c>
      <c r="U25" s="22">
        <v>4.9E-9</v>
      </c>
      <c r="V25" s="22">
        <f t="shared" si="4"/>
        <v>18478175.636652477</v>
      </c>
      <c r="W25" s="27">
        <f t="shared" si="5"/>
        <v>0.6188351687334982</v>
      </c>
      <c r="X25" s="22">
        <f t="shared" si="6"/>
        <v>1.0777166706364572E-6</v>
      </c>
      <c r="Y25" s="22">
        <f t="shared" si="7"/>
        <v>1.9398900071456227E-2</v>
      </c>
      <c r="Z25" s="25">
        <f t="shared" si="8"/>
        <v>7.179785126449036</v>
      </c>
      <c r="AA25" s="29">
        <f t="shared" si="9"/>
        <v>0.58578643762690485</v>
      </c>
    </row>
    <row r="26" spans="1:27" s="14" customFormat="1" x14ac:dyDescent="0.25">
      <c r="A26" s="20" t="s">
        <v>127</v>
      </c>
      <c r="B26" s="20" t="s">
        <v>123</v>
      </c>
      <c r="C26" s="21">
        <v>6</v>
      </c>
      <c r="D26" s="21">
        <v>75</v>
      </c>
      <c r="E26" s="22">
        <v>1000</v>
      </c>
      <c r="F26" s="21">
        <v>9.1</v>
      </c>
      <c r="G26" s="20">
        <v>0.9</v>
      </c>
      <c r="H26" s="31">
        <f t="shared" si="1"/>
        <v>9.8901098901098911E-2</v>
      </c>
      <c r="I26" s="21">
        <v>6.6</v>
      </c>
      <c r="J26" s="23">
        <v>1.3419000000000001</v>
      </c>
      <c r="K26" s="23">
        <v>0.1888</v>
      </c>
      <c r="L26" s="23">
        <v>3.7000000000000002E-3</v>
      </c>
      <c r="M26" s="31">
        <f t="shared" si="2"/>
        <v>1.9597457627118644E-2</v>
      </c>
      <c r="N26" s="20">
        <f t="shared" si="3"/>
        <v>48.199152542372879</v>
      </c>
      <c r="O26" s="20"/>
      <c r="P26" s="22">
        <f t="shared" si="0"/>
        <v>7.5000000000000002E-4</v>
      </c>
      <c r="Q26" s="22">
        <v>1500000</v>
      </c>
      <c r="R26" s="22">
        <v>1000</v>
      </c>
      <c r="S26" s="22">
        <v>5500000</v>
      </c>
      <c r="T26" s="22">
        <v>1.0999999999999999E-9</v>
      </c>
      <c r="U26" s="22">
        <v>4.9E-9</v>
      </c>
      <c r="V26" s="22">
        <f t="shared" si="4"/>
        <v>11550490.707547184</v>
      </c>
      <c r="W26" s="27">
        <f t="shared" si="5"/>
        <v>0.72201313363913733</v>
      </c>
      <c r="X26" s="22">
        <f t="shared" si="6"/>
        <v>5.0356926595826677E-6</v>
      </c>
      <c r="Y26" s="22">
        <f t="shared" si="7"/>
        <v>6.7142568794435571E-3</v>
      </c>
      <c r="Z26" s="25">
        <f t="shared" si="8"/>
        <v>12.203966971009285</v>
      </c>
      <c r="AA26" s="29">
        <f t="shared" si="9"/>
        <v>0.42264973081037427</v>
      </c>
    </row>
    <row r="27" spans="1:27" s="14" customFormat="1" x14ac:dyDescent="0.25">
      <c r="A27" s="20" t="s">
        <v>127</v>
      </c>
      <c r="B27" s="20" t="s">
        <v>123</v>
      </c>
      <c r="C27" s="21">
        <v>7.2</v>
      </c>
      <c r="D27" s="21">
        <v>90</v>
      </c>
      <c r="E27" s="22">
        <v>60</v>
      </c>
      <c r="F27" s="21">
        <v>9.6999999999999993</v>
      </c>
      <c r="G27" s="20">
        <v>0.9</v>
      </c>
      <c r="H27" s="31">
        <f t="shared" si="1"/>
        <v>9.2783505154639179E-2</v>
      </c>
      <c r="I27" s="21">
        <v>8.6</v>
      </c>
      <c r="J27" s="23">
        <v>1.3882000000000001</v>
      </c>
      <c r="K27" s="23">
        <v>0.24759999999999999</v>
      </c>
      <c r="L27" s="23">
        <v>6.4999999999999997E-3</v>
      </c>
      <c r="M27" s="31">
        <f t="shared" si="2"/>
        <v>2.6252019386106624E-2</v>
      </c>
      <c r="N27" s="20">
        <f>F27/K27</f>
        <v>39.176090468497577</v>
      </c>
      <c r="O27" s="20"/>
      <c r="P27" s="22">
        <f t="shared" si="0"/>
        <v>1.4999999999999999E-2</v>
      </c>
      <c r="Q27" s="22">
        <v>1500000</v>
      </c>
      <c r="R27" s="22">
        <v>1000</v>
      </c>
      <c r="S27" s="22">
        <v>5500000</v>
      </c>
      <c r="T27" s="22">
        <v>1.0999999999999999E-9</v>
      </c>
      <c r="U27" s="22">
        <v>4.9E-9</v>
      </c>
      <c r="V27" s="22">
        <f t="shared" si="4"/>
        <v>10059903.184439206</v>
      </c>
      <c r="W27" s="27">
        <f t="shared" si="5"/>
        <v>0.74887849483503366</v>
      </c>
      <c r="X27" s="22">
        <f t="shared" si="6"/>
        <v>7.8334464822562428E-6</v>
      </c>
      <c r="Y27" s="22">
        <f t="shared" si="7"/>
        <v>5.2222976548374955E-4</v>
      </c>
      <c r="Z27" s="25">
        <f t="shared" si="8"/>
        <v>43.759181409813202</v>
      </c>
      <c r="AA27" s="29">
        <f t="shared" si="9"/>
        <v>0.27924077994387358</v>
      </c>
    </row>
    <row r="28" spans="1:27" x14ac:dyDescent="0.25">
      <c r="K28" s="6"/>
      <c r="L28" s="6"/>
      <c r="M28" s="6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7" x14ac:dyDescent="0.25">
      <c r="L29" s="6"/>
      <c r="M29" s="6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7" x14ac:dyDescent="0.25"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7" x14ac:dyDescent="0.25"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7" x14ac:dyDescent="0.25"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6:25" x14ac:dyDescent="0.25"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6:25" x14ac:dyDescent="0.25"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6:25" x14ac:dyDescent="0.25"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6:25" x14ac:dyDescent="0.25"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6:25" x14ac:dyDescent="0.25"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6:25" x14ac:dyDescent="0.25"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6:25" x14ac:dyDescent="0.25"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6:25" x14ac:dyDescent="0.25"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6:25" x14ac:dyDescent="0.25"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6:25" x14ac:dyDescent="0.25"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6:25" x14ac:dyDescent="0.25"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6:25" x14ac:dyDescent="0.25"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6:25" x14ac:dyDescent="0.25"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6:25" x14ac:dyDescent="0.25">
      <c r="P46" s="1"/>
      <c r="Q46" s="1"/>
      <c r="R46" s="1"/>
      <c r="S46" s="1"/>
      <c r="T46" s="1"/>
      <c r="U46" s="1"/>
      <c r="V46" s="1"/>
      <c r="W46" s="1"/>
      <c r="X46" s="1"/>
      <c r="Y46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40E0-B5C2-954C-8108-8668D0BC0B39}">
  <dimension ref="A1:AA46"/>
  <sheetViews>
    <sheetView topLeftCell="U1" zoomScale="140" workbookViewId="0">
      <selection activeCell="U12" sqref="A12:XFD12"/>
    </sheetView>
  </sheetViews>
  <sheetFormatPr defaultColWidth="8.85546875" defaultRowHeight="15" x14ac:dyDescent="0.25"/>
  <cols>
    <col min="1" max="1" width="29.28515625" customWidth="1"/>
    <col min="2" max="2" width="23.28515625" customWidth="1"/>
    <col min="3" max="3" width="23" customWidth="1"/>
    <col min="4" max="4" width="16.7109375" customWidth="1"/>
    <col min="5" max="5" width="15.7109375" customWidth="1"/>
    <col min="6" max="6" width="18.85546875" customWidth="1"/>
    <col min="7" max="8" width="25.7109375" customWidth="1"/>
    <col min="9" max="13" width="22.7109375" customWidth="1"/>
    <col min="14" max="14" width="32" customWidth="1"/>
    <col min="15" max="15" width="35.42578125" customWidth="1"/>
    <col min="16" max="16" width="16.28515625" customWidth="1"/>
    <col min="17" max="17" width="29.42578125" customWidth="1"/>
    <col min="18" max="18" width="36.42578125" customWidth="1"/>
    <col min="19" max="19" width="41" customWidth="1"/>
    <col min="20" max="20" width="31.140625" customWidth="1"/>
    <col min="21" max="21" width="23.85546875" customWidth="1"/>
    <col min="22" max="22" width="33.140625" customWidth="1"/>
    <col min="23" max="23" width="32.140625" customWidth="1"/>
    <col min="24" max="24" width="22" customWidth="1"/>
    <col min="25" max="25" width="16.28515625" customWidth="1"/>
    <col min="26" max="26" width="18" customWidth="1"/>
    <col min="27" max="27" width="16.42578125" customWidth="1"/>
  </cols>
  <sheetData>
    <row r="1" spans="1:27" x14ac:dyDescent="0.25">
      <c r="A1" s="15" t="s">
        <v>124</v>
      </c>
      <c r="B1" s="15" t="s">
        <v>116</v>
      </c>
      <c r="C1" s="15" t="s">
        <v>115</v>
      </c>
      <c r="D1" s="15" t="s">
        <v>5</v>
      </c>
      <c r="E1" s="15" t="s">
        <v>117</v>
      </c>
      <c r="F1" s="15" t="s">
        <v>17</v>
      </c>
      <c r="G1" s="15" t="s">
        <v>130</v>
      </c>
      <c r="H1" s="15" t="s">
        <v>131</v>
      </c>
      <c r="I1" s="15" t="s">
        <v>118</v>
      </c>
      <c r="J1" s="15" t="s">
        <v>114</v>
      </c>
      <c r="K1" s="15" t="s">
        <v>128</v>
      </c>
      <c r="L1" s="15" t="s">
        <v>129</v>
      </c>
      <c r="M1" s="15" t="s">
        <v>132</v>
      </c>
      <c r="N1" s="15" t="s">
        <v>119</v>
      </c>
      <c r="O1" s="15" t="s">
        <v>120</v>
      </c>
      <c r="P1" s="15" t="s">
        <v>27</v>
      </c>
      <c r="Q1" s="15" t="s">
        <v>21</v>
      </c>
      <c r="R1" s="15" t="s">
        <v>20</v>
      </c>
      <c r="S1" s="15" t="s">
        <v>19</v>
      </c>
      <c r="T1" s="15" t="s">
        <v>22</v>
      </c>
      <c r="U1" s="15" t="s">
        <v>23</v>
      </c>
      <c r="V1" s="2" t="s">
        <v>25</v>
      </c>
      <c r="W1" s="2" t="s">
        <v>133</v>
      </c>
      <c r="X1" s="2" t="s">
        <v>136</v>
      </c>
      <c r="Y1" s="2" t="s">
        <v>135</v>
      </c>
      <c r="Z1" s="2" t="s">
        <v>121</v>
      </c>
      <c r="AA1" s="2" t="s">
        <v>122</v>
      </c>
    </row>
    <row r="2" spans="1:27" s="13" customFormat="1" x14ac:dyDescent="0.25">
      <c r="A2" s="16" t="s">
        <v>127</v>
      </c>
      <c r="B2" s="16" t="s">
        <v>123</v>
      </c>
      <c r="C2" s="17">
        <v>1.3</v>
      </c>
      <c r="D2" s="17">
        <v>5</v>
      </c>
      <c r="E2" s="18">
        <v>1000</v>
      </c>
      <c r="F2" s="17">
        <v>17.3</v>
      </c>
      <c r="G2" s="16">
        <v>0.8</v>
      </c>
      <c r="H2" s="30">
        <f>G2/F2</f>
        <v>4.6242774566473986E-2</v>
      </c>
      <c r="I2" s="17">
        <v>0.6</v>
      </c>
      <c r="J2" s="19">
        <v>1.9857</v>
      </c>
      <c r="K2" s="19">
        <v>7.85E-2</v>
      </c>
      <c r="L2" s="16">
        <v>3.5000000000000001E-3</v>
      </c>
      <c r="M2" s="30">
        <f>L2/K2</f>
        <v>4.4585987261146501E-2</v>
      </c>
      <c r="N2" s="16">
        <f>0.185*F2/K2</f>
        <v>40.770700636942671</v>
      </c>
      <c r="O2" s="16"/>
      <c r="P2" s="18">
        <f t="shared" ref="P2:P27" si="0">(1/E2)*(D2/100)</f>
        <v>5.0000000000000002E-5</v>
      </c>
      <c r="Q2" s="18">
        <v>180000</v>
      </c>
      <c r="R2" s="18">
        <v>440000</v>
      </c>
      <c r="S2" s="18">
        <v>0</v>
      </c>
      <c r="T2" s="18">
        <v>6.3999999999999999E-11</v>
      </c>
      <c r="U2" s="18">
        <v>7.2E-10</v>
      </c>
      <c r="V2" s="18">
        <f>R2+(S2^2*(N2*1000)^2/((96485^2)*U2))^(1/3)</f>
        <v>440000</v>
      </c>
      <c r="W2" s="26">
        <f>(V2/(Q2*50) + 1)^-1</f>
        <v>0.95338983050847448</v>
      </c>
      <c r="X2" s="18">
        <f>((3.14/4)*(96485^2)*U2/((N2*1000)^2))*(50-0.25*V2/Q2)^2</f>
        <v>7.7211842782571446E-6</v>
      </c>
      <c r="Y2" s="18">
        <f>X2/P2</f>
        <v>0.15442368556514288</v>
      </c>
      <c r="Z2" s="24">
        <f>SQRT(1/Y2)</f>
        <v>2.5447378139043062</v>
      </c>
      <c r="AA2" s="28">
        <f>1 - SQRT(100/D2) + SQRT(100/D2 - 1)</f>
        <v>0.88676298854109437</v>
      </c>
    </row>
    <row r="3" spans="1:27" s="13" customFormat="1" x14ac:dyDescent="0.25">
      <c r="A3" s="16" t="s">
        <v>127</v>
      </c>
      <c r="B3" s="16" t="s">
        <v>123</v>
      </c>
      <c r="C3" s="17">
        <v>1.8</v>
      </c>
      <c r="D3" s="17">
        <v>10</v>
      </c>
      <c r="E3" s="18">
        <v>1000</v>
      </c>
      <c r="F3" s="17">
        <v>15</v>
      </c>
      <c r="G3" s="16">
        <v>0.6</v>
      </c>
      <c r="H3" s="30">
        <f t="shared" ref="H3:H27" si="1">G3/F3</f>
        <v>0.04</v>
      </c>
      <c r="I3" s="17">
        <v>1.3</v>
      </c>
      <c r="J3" s="19">
        <v>2.0185</v>
      </c>
      <c r="K3" s="19">
        <v>7.0699999999999999E-2</v>
      </c>
      <c r="L3" s="16">
        <v>2.7000000000000001E-3</v>
      </c>
      <c r="M3" s="30">
        <f t="shared" ref="M3:M27" si="2">L3/K3</f>
        <v>3.818953323903819E-2</v>
      </c>
      <c r="N3" s="16">
        <f t="shared" ref="N3:N27" si="3">0.185*F3/K3</f>
        <v>39.250353606789247</v>
      </c>
      <c r="O3" s="16"/>
      <c r="P3" s="18">
        <f t="shared" si="0"/>
        <v>1E-4</v>
      </c>
      <c r="Q3" s="18">
        <v>180000</v>
      </c>
      <c r="R3" s="18">
        <v>440000</v>
      </c>
      <c r="S3" s="18">
        <v>0</v>
      </c>
      <c r="T3" s="18">
        <v>6.3999999999999999E-11</v>
      </c>
      <c r="U3" s="18">
        <v>7.2E-10</v>
      </c>
      <c r="V3" s="18">
        <f t="shared" ref="V3:V27" si="4">R3+(S3^2*(N3*1000)^2/((96485^2)*U3))^(1/3)</f>
        <v>440000</v>
      </c>
      <c r="W3" s="26">
        <f t="shared" ref="W3:W9" si="5">(V3/(Q3*50) + 1)^-1</f>
        <v>0.95338983050847448</v>
      </c>
      <c r="X3" s="18">
        <f t="shared" ref="X3:X27" si="6">((3.14/4)*(96485^2)*U3/((N3*1000)^2))*(50-0.25*V3/Q3)^2</f>
        <v>8.3309229905032984E-6</v>
      </c>
      <c r="Y3" s="18">
        <f t="shared" ref="Y3:Y27" si="7">X3/P3</f>
        <v>8.3309229905032978E-2</v>
      </c>
      <c r="Z3" s="24">
        <f t="shared" ref="Z3:Z27" si="8">SQRT(1/Y3)</f>
        <v>3.4646027041914853</v>
      </c>
      <c r="AA3" s="28">
        <f t="shared" ref="AA3:AA27" si="9">1 - SQRT(100/D3) + SQRT(100/D3 - 1)</f>
        <v>0.83772233983162048</v>
      </c>
    </row>
    <row r="4" spans="1:27" s="13" customFormat="1" x14ac:dyDescent="0.25">
      <c r="A4" s="16" t="s">
        <v>127</v>
      </c>
      <c r="B4" s="16" t="s">
        <v>123</v>
      </c>
      <c r="C4" s="17">
        <v>4.8</v>
      </c>
      <c r="D4" s="17">
        <v>50</v>
      </c>
      <c r="E4" s="18">
        <v>1000</v>
      </c>
      <c r="F4" s="17">
        <v>14.2</v>
      </c>
      <c r="G4" s="16">
        <v>0.3</v>
      </c>
      <c r="H4" s="30">
        <f t="shared" si="1"/>
        <v>2.1126760563380281E-2</v>
      </c>
      <c r="I4" s="17">
        <v>7</v>
      </c>
      <c r="J4" s="19">
        <v>1.8979999999999999</v>
      </c>
      <c r="K4" s="19">
        <v>0.21</v>
      </c>
      <c r="L4" s="16">
        <v>6.1999999999999998E-3</v>
      </c>
      <c r="M4" s="30">
        <f t="shared" si="2"/>
        <v>2.9523809523809525E-2</v>
      </c>
      <c r="N4" s="16">
        <f t="shared" si="3"/>
        <v>12.509523809523809</v>
      </c>
      <c r="O4" s="16"/>
      <c r="P4" s="18">
        <f t="shared" si="0"/>
        <v>5.0000000000000001E-4</v>
      </c>
      <c r="Q4" s="18">
        <v>180000</v>
      </c>
      <c r="R4" s="18">
        <v>440000</v>
      </c>
      <c r="S4" s="18">
        <v>0</v>
      </c>
      <c r="T4" s="18">
        <v>6.3999999999999999E-11</v>
      </c>
      <c r="U4" s="18">
        <v>7.2E-10</v>
      </c>
      <c r="V4" s="18">
        <f t="shared" si="4"/>
        <v>440000</v>
      </c>
      <c r="W4" s="26">
        <f t="shared" si="5"/>
        <v>0.95338983050847448</v>
      </c>
      <c r="X4" s="18">
        <f t="shared" si="6"/>
        <v>8.2016023920823949E-5</v>
      </c>
      <c r="Y4" s="18">
        <f t="shared" si="7"/>
        <v>0.1640320478416479</v>
      </c>
      <c r="Z4" s="24">
        <f t="shared" si="8"/>
        <v>2.4690827571487199</v>
      </c>
      <c r="AA4" s="28">
        <f t="shared" si="9"/>
        <v>0.58578643762690485</v>
      </c>
    </row>
    <row r="5" spans="1:27" s="13" customFormat="1" x14ac:dyDescent="0.25">
      <c r="A5" s="16" t="s">
        <v>127</v>
      </c>
      <c r="B5" s="16" t="s">
        <v>123</v>
      </c>
      <c r="C5" s="17">
        <v>8</v>
      </c>
      <c r="D5" s="17">
        <v>50</v>
      </c>
      <c r="E5" s="18">
        <v>1000</v>
      </c>
      <c r="F5" s="17">
        <v>17.100000000000001</v>
      </c>
      <c r="G5" s="16">
        <v>0.3</v>
      </c>
      <c r="H5" s="30">
        <f t="shared" si="1"/>
        <v>1.7543859649122806E-2</v>
      </c>
      <c r="I5" s="17">
        <v>8.4</v>
      </c>
      <c r="J5" s="19">
        <v>1.9036</v>
      </c>
      <c r="K5" s="19">
        <v>0.2445</v>
      </c>
      <c r="L5" s="16">
        <v>8.3000000000000001E-3</v>
      </c>
      <c r="M5" s="30">
        <f t="shared" si="2"/>
        <v>3.3946830265848674E-2</v>
      </c>
      <c r="N5" s="16">
        <f t="shared" si="3"/>
        <v>12.938650306748468</v>
      </c>
      <c r="O5" s="16"/>
      <c r="P5" s="18">
        <f t="shared" si="0"/>
        <v>5.0000000000000001E-4</v>
      </c>
      <c r="Q5" s="18">
        <v>180000</v>
      </c>
      <c r="R5" s="18">
        <v>440000</v>
      </c>
      <c r="S5" s="18">
        <v>0</v>
      </c>
      <c r="T5" s="18">
        <v>6.3999999999999999E-11</v>
      </c>
      <c r="U5" s="18">
        <v>7.2E-10</v>
      </c>
      <c r="V5" s="18">
        <f t="shared" si="4"/>
        <v>440000</v>
      </c>
      <c r="W5" s="26">
        <f t="shared" si="5"/>
        <v>0.95338983050847448</v>
      </c>
      <c r="X5" s="18">
        <f t="shared" si="6"/>
        <v>7.6665913817427868E-5</v>
      </c>
      <c r="Y5" s="18">
        <f t="shared" si="7"/>
        <v>0.15333182763485573</v>
      </c>
      <c r="Z5" s="24">
        <f t="shared" si="8"/>
        <v>2.5537821310870288</v>
      </c>
      <c r="AA5" s="28">
        <f t="shared" si="9"/>
        <v>0.58578643762690485</v>
      </c>
    </row>
    <row r="6" spans="1:27" s="13" customFormat="1" x14ac:dyDescent="0.25">
      <c r="A6" s="16" t="s">
        <v>127</v>
      </c>
      <c r="B6" s="16" t="s">
        <v>123</v>
      </c>
      <c r="C6" s="17">
        <v>2.4</v>
      </c>
      <c r="D6" s="17">
        <v>5</v>
      </c>
      <c r="E6" s="18">
        <v>2000</v>
      </c>
      <c r="F6" s="17">
        <v>22.2</v>
      </c>
      <c r="G6" s="16">
        <v>1.2</v>
      </c>
      <c r="H6" s="30">
        <f t="shared" si="1"/>
        <v>5.4054054054054057E-2</v>
      </c>
      <c r="I6" s="17">
        <v>0.9</v>
      </c>
      <c r="J6" s="19">
        <v>1.9774</v>
      </c>
      <c r="K6" s="19">
        <v>0.1183</v>
      </c>
      <c r="L6" s="16">
        <v>4.4000000000000003E-3</v>
      </c>
      <c r="M6" s="30">
        <f t="shared" si="2"/>
        <v>3.7193575655114115E-2</v>
      </c>
      <c r="N6" s="16">
        <f t="shared" si="3"/>
        <v>34.716821639898562</v>
      </c>
      <c r="O6" s="16"/>
      <c r="P6" s="18">
        <f t="shared" si="0"/>
        <v>2.5000000000000001E-5</v>
      </c>
      <c r="Q6" s="18">
        <v>180000</v>
      </c>
      <c r="R6" s="18">
        <v>440000</v>
      </c>
      <c r="S6" s="18">
        <v>0</v>
      </c>
      <c r="T6" s="18">
        <v>6.3999999999999999E-11</v>
      </c>
      <c r="U6" s="18">
        <v>7.2E-10</v>
      </c>
      <c r="V6" s="18">
        <f t="shared" si="4"/>
        <v>440000</v>
      </c>
      <c r="W6" s="26">
        <f t="shared" si="5"/>
        <v>0.95338983050847448</v>
      </c>
      <c r="X6" s="18">
        <f t="shared" si="6"/>
        <v>1.0648792163371095E-5</v>
      </c>
      <c r="Y6" s="18">
        <f t="shared" si="7"/>
        <v>0.42595168653484378</v>
      </c>
      <c r="Z6" s="24">
        <f t="shared" si="8"/>
        <v>1.5322154207767551</v>
      </c>
      <c r="AA6" s="28">
        <f t="shared" si="9"/>
        <v>0.88676298854109437</v>
      </c>
    </row>
    <row r="7" spans="1:27" s="13" customFormat="1" x14ac:dyDescent="0.25">
      <c r="A7" s="16" t="s">
        <v>127</v>
      </c>
      <c r="B7" s="16" t="s">
        <v>123</v>
      </c>
      <c r="C7" s="17">
        <v>3.5</v>
      </c>
      <c r="D7" s="17">
        <v>10</v>
      </c>
      <c r="E7" s="18">
        <v>2000</v>
      </c>
      <c r="F7" s="17">
        <v>23.1</v>
      </c>
      <c r="G7" s="16">
        <v>0.9</v>
      </c>
      <c r="H7" s="30">
        <f t="shared" si="1"/>
        <v>3.896103896103896E-2</v>
      </c>
      <c r="I7" s="17">
        <v>2.1</v>
      </c>
      <c r="J7" s="19">
        <v>2.0148000000000001</v>
      </c>
      <c r="K7" s="19">
        <v>0.1041</v>
      </c>
      <c r="L7" s="16">
        <v>3.2000000000000002E-3</v>
      </c>
      <c r="M7" s="30">
        <f t="shared" si="2"/>
        <v>3.0739673390970224E-2</v>
      </c>
      <c r="N7" s="16">
        <f t="shared" si="3"/>
        <v>41.051873198847268</v>
      </c>
      <c r="O7" s="16"/>
      <c r="P7" s="18">
        <f t="shared" si="0"/>
        <v>5.0000000000000002E-5</v>
      </c>
      <c r="Q7" s="18">
        <v>180000</v>
      </c>
      <c r="R7" s="18">
        <v>440000</v>
      </c>
      <c r="S7" s="18">
        <v>0</v>
      </c>
      <c r="T7" s="18">
        <v>6.3999999999999999E-11</v>
      </c>
      <c r="U7" s="18">
        <v>7.2E-10</v>
      </c>
      <c r="V7" s="18">
        <f t="shared" si="4"/>
        <v>440000</v>
      </c>
      <c r="W7" s="26">
        <f t="shared" si="5"/>
        <v>0.95338983050847448</v>
      </c>
      <c r="X7" s="18">
        <f t="shared" si="6"/>
        <v>7.6157785932947325E-6</v>
      </c>
      <c r="Y7" s="18">
        <f t="shared" si="7"/>
        <v>0.15231557186589464</v>
      </c>
      <c r="Z7" s="24">
        <f t="shared" si="8"/>
        <v>2.5622874375147147</v>
      </c>
      <c r="AA7" s="28">
        <f t="shared" si="9"/>
        <v>0.83772233983162048</v>
      </c>
    </row>
    <row r="8" spans="1:27" s="13" customFormat="1" x14ac:dyDescent="0.25">
      <c r="A8" s="16" t="s">
        <v>127</v>
      </c>
      <c r="B8" s="16" t="s">
        <v>123</v>
      </c>
      <c r="C8" s="17">
        <v>2.8</v>
      </c>
      <c r="D8" s="17">
        <v>15</v>
      </c>
      <c r="E8" s="18">
        <v>2000</v>
      </c>
      <c r="F8" s="17">
        <v>14.9</v>
      </c>
      <c r="G8" s="16">
        <v>0.6</v>
      </c>
      <c r="H8" s="30">
        <f t="shared" si="1"/>
        <v>4.0268456375838924E-2</v>
      </c>
      <c r="I8" s="17">
        <v>2.1</v>
      </c>
      <c r="J8" s="19">
        <v>2.0097</v>
      </c>
      <c r="K8" s="19">
        <v>6.2799999999999995E-2</v>
      </c>
      <c r="L8" s="16">
        <v>2.3999999999999998E-3</v>
      </c>
      <c r="M8" s="30">
        <f t="shared" si="2"/>
        <v>3.8216560509554139E-2</v>
      </c>
      <c r="N8" s="16">
        <f t="shared" si="3"/>
        <v>43.89331210191083</v>
      </c>
      <c r="O8" s="16"/>
      <c r="P8" s="18">
        <f t="shared" si="0"/>
        <v>7.4999999999999993E-5</v>
      </c>
      <c r="Q8" s="18">
        <v>180000</v>
      </c>
      <c r="R8" s="18">
        <v>440000</v>
      </c>
      <c r="S8" s="18">
        <v>0</v>
      </c>
      <c r="T8" s="18">
        <v>6.3999999999999999E-11</v>
      </c>
      <c r="U8" s="18">
        <v>7.2E-10</v>
      </c>
      <c r="V8" s="18">
        <f t="shared" si="4"/>
        <v>440000</v>
      </c>
      <c r="W8" s="26">
        <f t="shared" si="5"/>
        <v>0.95338983050847448</v>
      </c>
      <c r="X8" s="18">
        <f t="shared" si="6"/>
        <v>6.6616768401843668E-6</v>
      </c>
      <c r="Y8" s="18">
        <f t="shared" si="7"/>
        <v>8.8822357869124902E-2</v>
      </c>
      <c r="Z8" s="24">
        <f t="shared" si="8"/>
        <v>3.3553579003303176</v>
      </c>
      <c r="AA8" s="28">
        <f t="shared" si="9"/>
        <v>0.79848724537600546</v>
      </c>
    </row>
    <row r="9" spans="1:27" s="13" customFormat="1" x14ac:dyDescent="0.25">
      <c r="A9" s="16" t="s">
        <v>127</v>
      </c>
      <c r="B9" s="16" t="s">
        <v>123</v>
      </c>
      <c r="C9" s="17">
        <v>5</v>
      </c>
      <c r="D9" s="17">
        <v>15</v>
      </c>
      <c r="E9" s="18">
        <v>2000</v>
      </c>
      <c r="F9" s="17">
        <v>25</v>
      </c>
      <c r="G9" s="16">
        <v>0.8</v>
      </c>
      <c r="H9" s="30">
        <f t="shared" si="1"/>
        <v>3.2000000000000001E-2</v>
      </c>
      <c r="I9" s="17">
        <v>3.6</v>
      </c>
      <c r="J9" s="19">
        <v>2.0192000000000001</v>
      </c>
      <c r="K9" s="19">
        <v>0.1565</v>
      </c>
      <c r="L9" s="16">
        <v>3.3E-3</v>
      </c>
      <c r="M9" s="30">
        <f t="shared" si="2"/>
        <v>2.1086261980830672E-2</v>
      </c>
      <c r="N9" s="16">
        <f t="shared" si="3"/>
        <v>29.552715654952078</v>
      </c>
      <c r="O9" s="16"/>
      <c r="P9" s="18">
        <f t="shared" si="0"/>
        <v>7.4999999999999993E-5</v>
      </c>
      <c r="Q9" s="18">
        <v>180000</v>
      </c>
      <c r="R9" s="18">
        <v>440000</v>
      </c>
      <c r="S9" s="18">
        <v>0</v>
      </c>
      <c r="T9" s="18">
        <v>6.3999999999999999E-11</v>
      </c>
      <c r="U9" s="18">
        <v>7.2E-10</v>
      </c>
      <c r="V9" s="18">
        <f t="shared" si="4"/>
        <v>440000</v>
      </c>
      <c r="W9" s="26">
        <f t="shared" si="5"/>
        <v>0.95338983050847448</v>
      </c>
      <c r="X9" s="18">
        <f t="shared" si="6"/>
        <v>1.4695537552559991E-5</v>
      </c>
      <c r="Y9" s="18">
        <f t="shared" si="7"/>
        <v>0.19594050070079991</v>
      </c>
      <c r="Z9" s="24">
        <f t="shared" si="8"/>
        <v>2.2591126802832937</v>
      </c>
      <c r="AA9" s="28">
        <f t="shared" si="9"/>
        <v>0.79848724537600546</v>
      </c>
    </row>
    <row r="10" spans="1:27" s="40" customFormat="1" x14ac:dyDescent="0.25">
      <c r="A10" s="32" t="s">
        <v>127</v>
      </c>
      <c r="B10" s="32" t="s">
        <v>123</v>
      </c>
      <c r="C10" s="33">
        <v>3.4</v>
      </c>
      <c r="D10" s="33">
        <v>5</v>
      </c>
      <c r="E10" s="34">
        <v>4000</v>
      </c>
      <c r="F10" s="33">
        <v>20.8</v>
      </c>
      <c r="G10" s="32">
        <v>1.5</v>
      </c>
      <c r="H10" s="35">
        <f t="shared" si="1"/>
        <v>7.2115384615384609E-2</v>
      </c>
      <c r="I10" s="33">
        <v>0.8</v>
      </c>
      <c r="J10" s="36">
        <v>1.9913000000000001</v>
      </c>
      <c r="K10" s="36">
        <v>0.21429999999999999</v>
      </c>
      <c r="L10" s="32">
        <v>7.4000000000000003E-3</v>
      </c>
      <c r="M10" s="35">
        <f t="shared" si="2"/>
        <v>3.4531031264582367E-2</v>
      </c>
      <c r="N10" s="32">
        <f t="shared" si="3"/>
        <v>17.956136257582827</v>
      </c>
      <c r="O10" s="32"/>
      <c r="P10" s="34">
        <f t="shared" si="0"/>
        <v>1.2500000000000001E-5</v>
      </c>
      <c r="Q10" s="34">
        <v>180000</v>
      </c>
      <c r="R10" s="34">
        <v>440000</v>
      </c>
      <c r="S10" s="34">
        <v>0</v>
      </c>
      <c r="T10" s="34">
        <v>6.3999999999999999E-11</v>
      </c>
      <c r="U10" s="34">
        <v>7.2E-10</v>
      </c>
      <c r="V10" s="34">
        <f t="shared" si="4"/>
        <v>440000</v>
      </c>
      <c r="W10" s="37">
        <f>(V10/(Q10*50) + 1)^-1</f>
        <v>0.95338983050847448</v>
      </c>
      <c r="X10" s="34">
        <f t="shared" si="6"/>
        <v>3.9806544807315477E-5</v>
      </c>
      <c r="Y10" s="34">
        <f t="shared" si="7"/>
        <v>3.184523584585238</v>
      </c>
      <c r="Z10" s="38">
        <f t="shared" si="8"/>
        <v>0.56037372687294196</v>
      </c>
      <c r="AA10" s="39">
        <f t="shared" si="9"/>
        <v>0.88676298854109437</v>
      </c>
    </row>
    <row r="11" spans="1:27" s="13" customFormat="1" x14ac:dyDescent="0.25">
      <c r="A11" s="16" t="s">
        <v>127</v>
      </c>
      <c r="B11" s="16" t="s">
        <v>123</v>
      </c>
      <c r="C11" s="17">
        <v>3.5</v>
      </c>
      <c r="D11" s="17">
        <v>10</v>
      </c>
      <c r="E11" s="18">
        <v>4000</v>
      </c>
      <c r="F11" s="17">
        <v>16.7</v>
      </c>
      <c r="G11" s="16">
        <v>0.9</v>
      </c>
      <c r="H11" s="30">
        <f t="shared" si="1"/>
        <v>5.3892215568862277E-2</v>
      </c>
      <c r="I11" s="17">
        <v>1.5</v>
      </c>
      <c r="J11" s="19">
        <v>2.0426000000000002</v>
      </c>
      <c r="K11" s="19">
        <v>0.11550000000000001</v>
      </c>
      <c r="L11" s="19">
        <v>4.1000000000000003E-3</v>
      </c>
      <c r="M11" s="30">
        <f t="shared" si="2"/>
        <v>3.54978354978355E-2</v>
      </c>
      <c r="N11" s="16">
        <f t="shared" si="3"/>
        <v>26.748917748917744</v>
      </c>
      <c r="O11" s="16"/>
      <c r="P11" s="18">
        <f t="shared" si="0"/>
        <v>2.5000000000000001E-5</v>
      </c>
      <c r="Q11" s="18">
        <v>180000</v>
      </c>
      <c r="R11" s="18">
        <v>440000</v>
      </c>
      <c r="S11" s="18">
        <v>0</v>
      </c>
      <c r="T11" s="18">
        <v>6.3999999999999999E-11</v>
      </c>
      <c r="U11" s="18">
        <v>7.2E-10</v>
      </c>
      <c r="V11" s="18">
        <f t="shared" si="4"/>
        <v>440000</v>
      </c>
      <c r="W11" s="26">
        <f t="shared" ref="W11:W13" si="10">(V11/(Q11*50) + 1)^-1</f>
        <v>0.95338983050847448</v>
      </c>
      <c r="X11" s="18">
        <f t="shared" si="6"/>
        <v>1.7937744618584285E-5</v>
      </c>
      <c r="Y11" s="18">
        <f t="shared" si="7"/>
        <v>0.71750978474337135</v>
      </c>
      <c r="Z11" s="24">
        <f t="shared" si="8"/>
        <v>1.1805546224565207</v>
      </c>
      <c r="AA11" s="28">
        <f t="shared" si="9"/>
        <v>0.83772233983162048</v>
      </c>
    </row>
    <row r="12" spans="1:27" s="40" customFormat="1" x14ac:dyDescent="0.25">
      <c r="A12" s="32" t="s">
        <v>127</v>
      </c>
      <c r="B12" s="32" t="s">
        <v>123</v>
      </c>
      <c r="C12" s="33">
        <v>3.4</v>
      </c>
      <c r="D12" s="33">
        <v>5</v>
      </c>
      <c r="E12" s="34">
        <v>5000</v>
      </c>
      <c r="F12" s="33">
        <v>17.399999999999999</v>
      </c>
      <c r="G12" s="32">
        <v>1.5</v>
      </c>
      <c r="H12" s="35">
        <f t="shared" si="1"/>
        <v>8.6206896551724144E-2</v>
      </c>
      <c r="I12" s="33">
        <v>0.7</v>
      </c>
      <c r="J12" s="36">
        <v>2.0514999999999999</v>
      </c>
      <c r="K12" s="36">
        <v>0.2011</v>
      </c>
      <c r="L12" s="36">
        <v>5.4999999999999997E-3</v>
      </c>
      <c r="M12" s="35">
        <f t="shared" si="2"/>
        <v>2.7349577324714072E-2</v>
      </c>
      <c r="N12" s="32">
        <f t="shared" si="3"/>
        <v>16.006961710591746</v>
      </c>
      <c r="O12" s="32"/>
      <c r="P12" s="34">
        <f t="shared" si="0"/>
        <v>1.0000000000000001E-5</v>
      </c>
      <c r="Q12" s="34">
        <v>180000</v>
      </c>
      <c r="R12" s="34">
        <v>440000</v>
      </c>
      <c r="S12" s="34">
        <v>0</v>
      </c>
      <c r="T12" s="34">
        <v>6.3999999999999999E-11</v>
      </c>
      <c r="U12" s="34">
        <v>7.2E-10</v>
      </c>
      <c r="V12" s="34">
        <f t="shared" si="4"/>
        <v>440000</v>
      </c>
      <c r="W12" s="37">
        <f t="shared" si="10"/>
        <v>0.95338983050847448</v>
      </c>
      <c r="X12" s="34">
        <f t="shared" si="6"/>
        <v>5.0091317553045476E-5</v>
      </c>
      <c r="Y12" s="34">
        <f t="shared" si="7"/>
        <v>5.0091317553045469</v>
      </c>
      <c r="Z12" s="38">
        <f t="shared" si="8"/>
        <v>0.44680576952776557</v>
      </c>
      <c r="AA12" s="39">
        <f t="shared" si="9"/>
        <v>0.88676298854109437</v>
      </c>
    </row>
    <row r="13" spans="1:27" s="13" customFormat="1" x14ac:dyDescent="0.25">
      <c r="A13" s="16" t="s">
        <v>127</v>
      </c>
      <c r="B13" s="16" t="s">
        <v>123</v>
      </c>
      <c r="C13" s="17">
        <v>3.5</v>
      </c>
      <c r="D13" s="17">
        <v>10</v>
      </c>
      <c r="E13" s="18">
        <v>5000</v>
      </c>
      <c r="F13" s="17">
        <v>14.7</v>
      </c>
      <c r="G13" s="16">
        <v>1.1000000000000001</v>
      </c>
      <c r="H13" s="30">
        <f t="shared" si="1"/>
        <v>7.4829931972789129E-2</v>
      </c>
      <c r="I13" s="17">
        <v>1.3</v>
      </c>
      <c r="J13" s="19">
        <v>2.0375999999999999</v>
      </c>
      <c r="K13" s="19">
        <v>0.1012</v>
      </c>
      <c r="L13" s="19">
        <v>5.7000000000000002E-3</v>
      </c>
      <c r="M13" s="30">
        <f t="shared" si="2"/>
        <v>5.632411067193676E-2</v>
      </c>
      <c r="N13" s="16">
        <f t="shared" si="3"/>
        <v>26.872529644268777</v>
      </c>
      <c r="O13" s="16"/>
      <c r="P13" s="18">
        <f t="shared" si="0"/>
        <v>2.0000000000000002E-5</v>
      </c>
      <c r="Q13" s="18">
        <v>180000</v>
      </c>
      <c r="R13" s="18">
        <v>440000</v>
      </c>
      <c r="S13" s="18">
        <v>0</v>
      </c>
      <c r="T13" s="18">
        <v>6.3999999999999999E-11</v>
      </c>
      <c r="U13" s="18">
        <v>7.2E-10</v>
      </c>
      <c r="V13" s="18">
        <f t="shared" si="4"/>
        <v>440000</v>
      </c>
      <c r="W13" s="26">
        <f t="shared" si="10"/>
        <v>0.95338983050847448</v>
      </c>
      <c r="X13" s="18">
        <f t="shared" si="6"/>
        <v>1.7773099244372486E-5</v>
      </c>
      <c r="Y13" s="18">
        <f t="shared" si="7"/>
        <v>0.88865496221862428</v>
      </c>
      <c r="Z13" s="24">
        <f t="shared" si="8"/>
        <v>1.0607997649777456</v>
      </c>
      <c r="AA13" s="28">
        <f t="shared" si="9"/>
        <v>0.83772233983162048</v>
      </c>
    </row>
    <row r="14" spans="1:27" s="13" customFormat="1" x14ac:dyDescent="0.25">
      <c r="A14" s="16" t="s">
        <v>127</v>
      </c>
      <c r="B14" s="16" t="s">
        <v>123</v>
      </c>
      <c r="C14" s="17">
        <v>3.8</v>
      </c>
      <c r="D14" s="17">
        <v>15</v>
      </c>
      <c r="E14" s="18">
        <v>5000</v>
      </c>
      <c r="F14" s="17">
        <v>13.4</v>
      </c>
      <c r="G14" s="16">
        <v>0.8</v>
      </c>
      <c r="H14" s="30">
        <f t="shared" si="1"/>
        <v>5.9701492537313432E-2</v>
      </c>
      <c r="I14" s="17">
        <v>1.8</v>
      </c>
      <c r="J14" s="19">
        <v>2.0287000000000002</v>
      </c>
      <c r="K14" s="19">
        <v>6.5500000000000003E-2</v>
      </c>
      <c r="L14" s="19">
        <v>2.8E-3</v>
      </c>
      <c r="M14" s="30">
        <f t="shared" si="2"/>
        <v>4.2748091603053436E-2</v>
      </c>
      <c r="N14" s="16">
        <f t="shared" si="3"/>
        <v>37.847328244274806</v>
      </c>
      <c r="O14" s="16"/>
      <c r="P14" s="18">
        <f t="shared" si="0"/>
        <v>3.0000000000000001E-5</v>
      </c>
      <c r="Q14" s="18">
        <v>180000</v>
      </c>
      <c r="R14" s="18">
        <v>440000</v>
      </c>
      <c r="S14" s="18">
        <v>0</v>
      </c>
      <c r="T14" s="18">
        <v>6.3999999999999999E-11</v>
      </c>
      <c r="U14" s="18">
        <v>7.2E-10</v>
      </c>
      <c r="V14" s="18">
        <f t="shared" si="4"/>
        <v>440000</v>
      </c>
      <c r="W14" s="26">
        <f>(V14/(Q14*50) + 1)^-1</f>
        <v>0.95338983050847448</v>
      </c>
      <c r="X14" s="18">
        <f t="shared" si="6"/>
        <v>8.9600372199478496E-6</v>
      </c>
      <c r="Y14" s="18">
        <f t="shared" si="7"/>
        <v>0.29866790733159498</v>
      </c>
      <c r="Z14" s="24">
        <f t="shared" si="8"/>
        <v>1.8298088362584812</v>
      </c>
      <c r="AA14" s="28">
        <f t="shared" si="9"/>
        <v>0.79848724537600546</v>
      </c>
    </row>
    <row r="15" spans="1:27" s="13" customFormat="1" x14ac:dyDescent="0.25">
      <c r="A15" s="16" t="s">
        <v>127</v>
      </c>
      <c r="B15" s="16" t="s">
        <v>123</v>
      </c>
      <c r="C15" s="17">
        <v>4.4000000000000004</v>
      </c>
      <c r="D15" s="17">
        <v>15</v>
      </c>
      <c r="E15" s="18">
        <v>6000</v>
      </c>
      <c r="F15" s="17">
        <v>14</v>
      </c>
      <c r="G15" s="16">
        <v>0.9</v>
      </c>
      <c r="H15" s="30">
        <f t="shared" si="1"/>
        <v>6.4285714285714293E-2</v>
      </c>
      <c r="I15" s="17">
        <v>1.9</v>
      </c>
      <c r="J15" s="19">
        <v>2.0514999999999999</v>
      </c>
      <c r="K15" s="19">
        <v>8.3099999999999993E-2</v>
      </c>
      <c r="L15" s="19">
        <v>2.8E-3</v>
      </c>
      <c r="M15" s="30">
        <f t="shared" si="2"/>
        <v>3.3694344163658248E-2</v>
      </c>
      <c r="N15" s="16">
        <f t="shared" si="3"/>
        <v>31.167268351383875</v>
      </c>
      <c r="O15" s="16"/>
      <c r="P15" s="18">
        <f t="shared" si="0"/>
        <v>2.4999999999999998E-5</v>
      </c>
      <c r="Q15" s="18">
        <v>180000</v>
      </c>
      <c r="R15" s="18">
        <v>440000</v>
      </c>
      <c r="S15" s="18">
        <v>0</v>
      </c>
      <c r="T15" s="18">
        <v>6.3999999999999999E-11</v>
      </c>
      <c r="U15" s="18">
        <v>7.2E-10</v>
      </c>
      <c r="V15" s="18">
        <f t="shared" si="4"/>
        <v>440000</v>
      </c>
      <c r="W15" s="26">
        <f>(V15/(Q15*50) + 1)^-1</f>
        <v>0.95338983050847448</v>
      </c>
      <c r="X15" s="18">
        <f t="shared" si="6"/>
        <v>1.321243265496908E-5</v>
      </c>
      <c r="Y15" s="18">
        <f t="shared" si="7"/>
        <v>0.52849730619876323</v>
      </c>
      <c r="Z15" s="24">
        <f t="shared" si="8"/>
        <v>1.375557062418264</v>
      </c>
      <c r="AA15" s="28">
        <f t="shared" si="9"/>
        <v>0.79848724537600546</v>
      </c>
    </row>
    <row r="16" spans="1:27" s="13" customFormat="1" x14ac:dyDescent="0.25">
      <c r="A16" s="16" t="s">
        <v>127</v>
      </c>
      <c r="B16" s="16" t="s">
        <v>123</v>
      </c>
      <c r="C16" s="17">
        <v>5.3</v>
      </c>
      <c r="D16" s="17">
        <v>20</v>
      </c>
      <c r="E16" s="18">
        <v>9000</v>
      </c>
      <c r="F16" s="17">
        <v>11.9</v>
      </c>
      <c r="G16" s="16">
        <v>0.8</v>
      </c>
      <c r="H16" s="30">
        <f t="shared" si="1"/>
        <v>6.7226890756302518E-2</v>
      </c>
      <c r="I16" s="17">
        <v>2.2999999999999998</v>
      </c>
      <c r="J16" s="19">
        <v>2.0470000000000002</v>
      </c>
      <c r="K16" s="19">
        <v>8.14E-2</v>
      </c>
      <c r="L16" s="19">
        <v>1.8E-3</v>
      </c>
      <c r="M16" s="30">
        <f t="shared" si="2"/>
        <v>2.2113022113022112E-2</v>
      </c>
      <c r="N16" s="16">
        <f t="shared" si="3"/>
        <v>27.045454545454547</v>
      </c>
      <c r="O16" s="16"/>
      <c r="P16" s="18">
        <f t="shared" si="0"/>
        <v>2.2222222222222223E-5</v>
      </c>
      <c r="Q16" s="18">
        <v>180000</v>
      </c>
      <c r="R16" s="18">
        <v>440000</v>
      </c>
      <c r="S16" s="18">
        <v>0</v>
      </c>
      <c r="T16" s="18">
        <v>6.3999999999999999E-11</v>
      </c>
      <c r="U16" s="18">
        <v>7.2E-10</v>
      </c>
      <c r="V16" s="18">
        <f t="shared" si="4"/>
        <v>440000</v>
      </c>
      <c r="W16" s="26">
        <f>(V16/(Q16*50) + 1)^-1</f>
        <v>0.95338983050847448</v>
      </c>
      <c r="X16" s="18">
        <f t="shared" si="6"/>
        <v>1.7546548350850916E-5</v>
      </c>
      <c r="Y16" s="18">
        <f t="shared" si="7"/>
        <v>0.78959467578829123</v>
      </c>
      <c r="Z16" s="24">
        <f t="shared" si="8"/>
        <v>1.1253766356860473</v>
      </c>
      <c r="AA16" s="28">
        <f t="shared" si="9"/>
        <v>0.76393202250021019</v>
      </c>
    </row>
    <row r="17" spans="1:27" s="13" customFormat="1" x14ac:dyDescent="0.25">
      <c r="A17" s="16" t="s">
        <v>127</v>
      </c>
      <c r="B17" s="16" t="s">
        <v>123</v>
      </c>
      <c r="C17" s="17">
        <v>1.7</v>
      </c>
      <c r="D17" s="17">
        <v>10</v>
      </c>
      <c r="E17" s="18">
        <v>500</v>
      </c>
      <c r="F17" s="17">
        <v>16.600000000000001</v>
      </c>
      <c r="G17" s="16">
        <v>0.4</v>
      </c>
      <c r="H17" s="30">
        <f t="shared" si="1"/>
        <v>2.4096385542168672E-2</v>
      </c>
      <c r="I17" s="17">
        <v>1.5</v>
      </c>
      <c r="J17" s="19">
        <v>2.0053000000000001</v>
      </c>
      <c r="K17" s="19">
        <v>0.10249999999999999</v>
      </c>
      <c r="L17" s="19">
        <v>3.7000000000000002E-3</v>
      </c>
      <c r="M17" s="30">
        <f t="shared" si="2"/>
        <v>3.609756097560976E-2</v>
      </c>
      <c r="N17" s="16">
        <f t="shared" si="3"/>
        <v>29.960975609756101</v>
      </c>
      <c r="O17" s="16"/>
      <c r="P17" s="18">
        <f t="shared" si="0"/>
        <v>2.0000000000000001E-4</v>
      </c>
      <c r="Q17" s="18">
        <v>180000</v>
      </c>
      <c r="R17" s="18">
        <v>440000</v>
      </c>
      <c r="S17" s="18">
        <v>0</v>
      </c>
      <c r="T17" s="18">
        <v>6.3999999999999999E-11</v>
      </c>
      <c r="U17" s="18">
        <v>7.2E-10</v>
      </c>
      <c r="V17" s="18">
        <f t="shared" si="4"/>
        <v>440000</v>
      </c>
      <c r="W17" s="26">
        <f>(V17/(Q17*50) + 1)^-1</f>
        <v>0.95338983050847448</v>
      </c>
      <c r="X17" s="18">
        <f t="shared" si="6"/>
        <v>1.4297771930257961E-5</v>
      </c>
      <c r="Y17" s="18">
        <f t="shared" si="7"/>
        <v>7.1488859651289802E-2</v>
      </c>
      <c r="Z17" s="24">
        <f t="shared" si="8"/>
        <v>3.7400793405314565</v>
      </c>
      <c r="AA17" s="28">
        <f t="shared" si="9"/>
        <v>0.83772233983162048</v>
      </c>
    </row>
    <row r="18" spans="1:27" s="14" customFormat="1" x14ac:dyDescent="0.25">
      <c r="A18" s="20" t="s">
        <v>127</v>
      </c>
      <c r="B18" s="20" t="s">
        <v>123</v>
      </c>
      <c r="C18" s="21">
        <v>3</v>
      </c>
      <c r="D18" s="21">
        <v>25</v>
      </c>
      <c r="E18" s="22">
        <v>500</v>
      </c>
      <c r="F18" s="21">
        <v>12.2</v>
      </c>
      <c r="G18" s="20">
        <v>0.6</v>
      </c>
      <c r="H18" s="31">
        <f t="shared" si="1"/>
        <v>4.9180327868852458E-2</v>
      </c>
      <c r="I18" s="21">
        <v>2.2999999999999998</v>
      </c>
      <c r="J18" s="23">
        <v>1.3895</v>
      </c>
      <c r="K18" s="23">
        <v>0.1249</v>
      </c>
      <c r="L18" s="23">
        <v>1.4E-3</v>
      </c>
      <c r="M18" s="31">
        <f t="shared" si="2"/>
        <v>1.1208967173738992E-2</v>
      </c>
      <c r="N18" s="20">
        <f t="shared" si="3"/>
        <v>18.07045636509207</v>
      </c>
      <c r="O18" s="20"/>
      <c r="P18" s="22">
        <f t="shared" si="0"/>
        <v>5.0000000000000001E-4</v>
      </c>
      <c r="Q18" s="22">
        <v>180000</v>
      </c>
      <c r="R18" s="22">
        <v>440000</v>
      </c>
      <c r="S18" s="22">
        <v>0</v>
      </c>
      <c r="T18" s="22">
        <v>6.3999999999999999E-11</v>
      </c>
      <c r="U18" s="22">
        <v>7.2E-10</v>
      </c>
      <c r="V18" s="22">
        <f t="shared" si="4"/>
        <v>440000</v>
      </c>
      <c r="W18" s="27">
        <f>(V18/(Q18*50) + 1)^-1</f>
        <v>0.95338983050847448</v>
      </c>
      <c r="X18" s="22">
        <f t="shared" si="6"/>
        <v>3.9304477371197695E-5</v>
      </c>
      <c r="Y18" s="22">
        <f t="shared" si="7"/>
        <v>7.860895474239539E-2</v>
      </c>
      <c r="Z18" s="25">
        <f t="shared" si="8"/>
        <v>3.566678708496386</v>
      </c>
      <c r="AA18" s="29">
        <f t="shared" si="9"/>
        <v>0.73205080756887719</v>
      </c>
    </row>
    <row r="19" spans="1:27" s="14" customFormat="1" x14ac:dyDescent="0.25">
      <c r="A19" s="20" t="s">
        <v>127</v>
      </c>
      <c r="B19" s="20" t="s">
        <v>123</v>
      </c>
      <c r="C19" s="21">
        <v>4.5999999999999996</v>
      </c>
      <c r="D19" s="21">
        <v>50</v>
      </c>
      <c r="E19" s="22">
        <v>500</v>
      </c>
      <c r="F19" s="21">
        <v>10.3</v>
      </c>
      <c r="G19" s="20">
        <v>0.7</v>
      </c>
      <c r="H19" s="31">
        <f t="shared" si="1"/>
        <v>6.7961165048543687E-2</v>
      </c>
      <c r="I19" s="21">
        <v>4.5999999999999996</v>
      </c>
      <c r="J19" s="23">
        <v>1.3973</v>
      </c>
      <c r="K19" s="23">
        <v>0.1633</v>
      </c>
      <c r="L19" s="23">
        <v>2.0999999999999999E-3</v>
      </c>
      <c r="M19" s="31">
        <f t="shared" si="2"/>
        <v>1.2859767299448866E-2</v>
      </c>
      <c r="N19" s="20">
        <f t="shared" si="3"/>
        <v>11.668707899571341</v>
      </c>
      <c r="O19" s="20"/>
      <c r="P19" s="22">
        <f t="shared" si="0"/>
        <v>1E-3</v>
      </c>
      <c r="Q19" s="22">
        <v>180000</v>
      </c>
      <c r="R19" s="22">
        <v>440000</v>
      </c>
      <c r="S19" s="22">
        <v>0</v>
      </c>
      <c r="T19" s="22">
        <v>6.3999999999999999E-11</v>
      </c>
      <c r="U19" s="22">
        <v>7.2E-10</v>
      </c>
      <c r="V19" s="22">
        <f t="shared" si="4"/>
        <v>440000</v>
      </c>
      <c r="W19" s="27">
        <f t="shared" ref="W19:W22" si="11">(V19/(Q19*50) + 1)^-1</f>
        <v>0.95338983050847448</v>
      </c>
      <c r="X19" s="22">
        <f t="shared" si="6"/>
        <v>9.4261583355794454E-5</v>
      </c>
      <c r="Y19" s="22">
        <f t="shared" si="7"/>
        <v>9.4261583355794445E-2</v>
      </c>
      <c r="Z19" s="25">
        <f t="shared" si="8"/>
        <v>3.2571115660336964</v>
      </c>
      <c r="AA19" s="29">
        <f t="shared" si="9"/>
        <v>0.58578643762690485</v>
      </c>
    </row>
    <row r="20" spans="1:27" s="14" customFormat="1" x14ac:dyDescent="0.25">
      <c r="A20" s="20" t="s">
        <v>127</v>
      </c>
      <c r="B20" s="20" t="s">
        <v>123</v>
      </c>
      <c r="C20" s="21">
        <v>5.5</v>
      </c>
      <c r="D20" s="21">
        <v>75</v>
      </c>
      <c r="E20" s="22">
        <v>5000</v>
      </c>
      <c r="F20" s="21"/>
      <c r="G20" s="20"/>
      <c r="H20" s="31"/>
      <c r="I20" s="21"/>
      <c r="J20" s="23">
        <v>1.4188000000000001</v>
      </c>
      <c r="K20" s="23">
        <v>0.13750000000000001</v>
      </c>
      <c r="L20" s="23">
        <v>1.8E-3</v>
      </c>
      <c r="M20" s="31">
        <f t="shared" si="2"/>
        <v>1.3090909090909089E-2</v>
      </c>
      <c r="N20" s="20">
        <f t="shared" si="3"/>
        <v>0</v>
      </c>
      <c r="O20" s="20"/>
      <c r="P20" s="22">
        <f t="shared" si="0"/>
        <v>1.5000000000000001E-4</v>
      </c>
      <c r="Q20" s="22">
        <v>180000</v>
      </c>
      <c r="R20" s="22">
        <v>440000</v>
      </c>
      <c r="S20" s="22">
        <v>0</v>
      </c>
      <c r="T20" s="22">
        <v>6.3999999999999999E-11</v>
      </c>
      <c r="U20" s="22">
        <v>7.2E-10</v>
      </c>
      <c r="V20" s="22"/>
      <c r="W20" s="27">
        <f t="shared" si="11"/>
        <v>1</v>
      </c>
      <c r="X20" s="22" t="e">
        <f t="shared" si="6"/>
        <v>#DIV/0!</v>
      </c>
      <c r="Y20" s="22" t="e">
        <f t="shared" si="7"/>
        <v>#DIV/0!</v>
      </c>
      <c r="Z20" s="25" t="e">
        <f t="shared" si="8"/>
        <v>#DIV/0!</v>
      </c>
      <c r="AA20" s="29">
        <f t="shared" si="9"/>
        <v>0.42264973081037427</v>
      </c>
    </row>
    <row r="21" spans="1:27" s="14" customFormat="1" x14ac:dyDescent="0.25">
      <c r="A21" s="20" t="s">
        <v>127</v>
      </c>
      <c r="B21" s="20" t="s">
        <v>123</v>
      </c>
      <c r="C21" s="21">
        <v>5</v>
      </c>
      <c r="D21" s="21">
        <v>25</v>
      </c>
      <c r="E21" s="22">
        <v>1000</v>
      </c>
      <c r="F21" s="21">
        <v>19.3</v>
      </c>
      <c r="G21" s="20">
        <v>0.4</v>
      </c>
      <c r="H21" s="31">
        <f t="shared" si="1"/>
        <v>2.072538860103627E-2</v>
      </c>
      <c r="I21" s="21">
        <v>4.5999999999999996</v>
      </c>
      <c r="J21" s="23">
        <v>1.339</v>
      </c>
      <c r="K21" s="23">
        <v>0.15079999999999999</v>
      </c>
      <c r="L21" s="23">
        <v>1.6999999999999999E-3</v>
      </c>
      <c r="M21" s="31">
        <f t="shared" si="2"/>
        <v>1.1273209549071617E-2</v>
      </c>
      <c r="N21" s="20">
        <f t="shared" si="3"/>
        <v>23.677055702917773</v>
      </c>
      <c r="O21" s="20"/>
      <c r="P21" s="22">
        <f t="shared" si="0"/>
        <v>2.5000000000000001E-4</v>
      </c>
      <c r="Q21" s="22">
        <v>180000</v>
      </c>
      <c r="R21" s="22">
        <v>440000</v>
      </c>
      <c r="S21" s="22">
        <v>0</v>
      </c>
      <c r="T21" s="22">
        <v>6.3999999999999999E-11</v>
      </c>
      <c r="U21" s="22">
        <v>7.2E-10</v>
      </c>
      <c r="V21" s="22">
        <f t="shared" si="4"/>
        <v>440000</v>
      </c>
      <c r="W21" s="27">
        <f t="shared" si="11"/>
        <v>0.95338983050847448</v>
      </c>
      <c r="X21" s="22">
        <f t="shared" si="6"/>
        <v>2.2894168533686706E-5</v>
      </c>
      <c r="Y21" s="22">
        <f t="shared" si="7"/>
        <v>9.1576674134746822E-2</v>
      </c>
      <c r="Z21" s="25">
        <f t="shared" si="8"/>
        <v>3.3045137749326376</v>
      </c>
      <c r="AA21" s="29">
        <f t="shared" si="9"/>
        <v>0.73205080756887719</v>
      </c>
    </row>
    <row r="22" spans="1:27" s="14" customFormat="1" x14ac:dyDescent="0.25">
      <c r="A22" s="20" t="s">
        <v>127</v>
      </c>
      <c r="B22" s="20" t="s">
        <v>123</v>
      </c>
      <c r="C22" s="21">
        <v>5</v>
      </c>
      <c r="D22" s="21">
        <v>50</v>
      </c>
      <c r="E22" s="22">
        <v>1000</v>
      </c>
      <c r="F22" s="21">
        <v>11.4</v>
      </c>
      <c r="G22" s="20">
        <v>0.3</v>
      </c>
      <c r="H22" s="31">
        <f t="shared" si="1"/>
        <v>2.6315789473684209E-2</v>
      </c>
      <c r="I22" s="21">
        <v>5.6</v>
      </c>
      <c r="J22" s="23">
        <v>1.3587</v>
      </c>
      <c r="K22" s="23">
        <v>0.1361</v>
      </c>
      <c r="L22" s="23">
        <v>1.2999999999999999E-3</v>
      </c>
      <c r="M22" s="31">
        <f t="shared" si="2"/>
        <v>9.5518001469507719E-3</v>
      </c>
      <c r="N22" s="20">
        <f t="shared" si="3"/>
        <v>15.495958853783982</v>
      </c>
      <c r="O22" s="20"/>
      <c r="P22" s="22">
        <f t="shared" si="0"/>
        <v>5.0000000000000001E-4</v>
      </c>
      <c r="Q22" s="22">
        <v>180000</v>
      </c>
      <c r="R22" s="22">
        <v>440000</v>
      </c>
      <c r="S22" s="22">
        <v>0</v>
      </c>
      <c r="T22" s="22">
        <v>6.3999999999999999E-11</v>
      </c>
      <c r="U22" s="22">
        <v>7.2E-10</v>
      </c>
      <c r="V22" s="22">
        <f t="shared" si="4"/>
        <v>440000</v>
      </c>
      <c r="W22" s="27">
        <f t="shared" si="11"/>
        <v>0.95338983050847448</v>
      </c>
      <c r="X22" s="22">
        <f t="shared" si="6"/>
        <v>5.3449464469197881E-5</v>
      </c>
      <c r="Y22" s="22">
        <f t="shared" si="7"/>
        <v>0.10689892893839575</v>
      </c>
      <c r="Z22" s="25">
        <f t="shared" si="8"/>
        <v>3.0585340732342807</v>
      </c>
      <c r="AA22" s="29">
        <f t="shared" si="9"/>
        <v>0.58578643762690485</v>
      </c>
    </row>
    <row r="23" spans="1:27" s="14" customFormat="1" x14ac:dyDescent="0.25">
      <c r="A23" s="20" t="s">
        <v>127</v>
      </c>
      <c r="B23" s="20" t="s">
        <v>123</v>
      </c>
      <c r="C23" s="21">
        <v>5</v>
      </c>
      <c r="D23" s="21">
        <v>50</v>
      </c>
      <c r="E23" s="22">
        <v>5000</v>
      </c>
      <c r="F23" s="21">
        <v>8.5</v>
      </c>
      <c r="G23" s="20">
        <v>0.9</v>
      </c>
      <c r="H23" s="31">
        <f t="shared" si="1"/>
        <v>0.10588235294117647</v>
      </c>
      <c r="I23" s="21">
        <v>3.8</v>
      </c>
      <c r="J23" s="23">
        <v>1.3958999999999999</v>
      </c>
      <c r="K23" s="23">
        <v>0.10580000000000001</v>
      </c>
      <c r="L23" s="23">
        <v>1.1999999999999999E-3</v>
      </c>
      <c r="M23" s="31">
        <f t="shared" si="2"/>
        <v>1.1342155009451795E-2</v>
      </c>
      <c r="N23" s="20">
        <f t="shared" si="3"/>
        <v>14.862948960302457</v>
      </c>
      <c r="O23" s="20"/>
      <c r="P23" s="22">
        <f t="shared" si="0"/>
        <v>1E-4</v>
      </c>
      <c r="Q23" s="22">
        <v>180000</v>
      </c>
      <c r="R23" s="22">
        <v>440000</v>
      </c>
      <c r="S23" s="22">
        <v>0</v>
      </c>
      <c r="T23" s="22">
        <v>6.3999999999999999E-11</v>
      </c>
      <c r="U23" s="22">
        <v>7.2E-10</v>
      </c>
      <c r="V23" s="22">
        <f t="shared" si="4"/>
        <v>440000</v>
      </c>
      <c r="W23" s="27">
        <f>(V23/(Q23*50) + 1)^-1</f>
        <v>0.95338983050847448</v>
      </c>
      <c r="X23" s="22">
        <f t="shared" si="6"/>
        <v>5.809921900294554E-5</v>
      </c>
      <c r="Y23" s="22">
        <f t="shared" si="7"/>
        <v>0.58099219002945535</v>
      </c>
      <c r="Z23" s="25">
        <f t="shared" si="8"/>
        <v>1.3119426560074816</v>
      </c>
      <c r="AA23" s="29">
        <f t="shared" si="9"/>
        <v>0.58578643762690485</v>
      </c>
    </row>
    <row r="24" spans="1:27" s="14" customFormat="1" x14ac:dyDescent="0.25">
      <c r="A24" s="20" t="s">
        <v>127</v>
      </c>
      <c r="B24" s="20" t="s">
        <v>123</v>
      </c>
      <c r="C24" s="21">
        <v>6.5</v>
      </c>
      <c r="D24" s="21">
        <v>90</v>
      </c>
      <c r="E24" s="22">
        <v>500</v>
      </c>
      <c r="F24" s="21">
        <v>8.6</v>
      </c>
      <c r="G24" s="20">
        <v>0.8</v>
      </c>
      <c r="H24" s="31">
        <f t="shared" si="1"/>
        <v>9.3023255813953501E-2</v>
      </c>
      <c r="I24" s="21">
        <v>7.6</v>
      </c>
      <c r="J24" s="23">
        <v>1.3028999999999999</v>
      </c>
      <c r="K24" s="23">
        <v>0.19919999999999999</v>
      </c>
      <c r="L24" s="23">
        <v>3.3999999999999998E-3</v>
      </c>
      <c r="M24" s="31">
        <f t="shared" si="2"/>
        <v>1.7068273092369479E-2</v>
      </c>
      <c r="N24" s="20">
        <f t="shared" si="3"/>
        <v>7.9869477911646589</v>
      </c>
      <c r="O24" s="20"/>
      <c r="P24" s="22">
        <f t="shared" si="0"/>
        <v>1.8000000000000002E-3</v>
      </c>
      <c r="Q24" s="22">
        <v>180000</v>
      </c>
      <c r="R24" s="22">
        <v>440000</v>
      </c>
      <c r="S24" s="22">
        <v>0</v>
      </c>
      <c r="T24" s="22">
        <v>6.3999999999999999E-11</v>
      </c>
      <c r="U24" s="22">
        <v>7.2E-10</v>
      </c>
      <c r="V24" s="22">
        <f t="shared" si="4"/>
        <v>440000</v>
      </c>
      <c r="W24" s="27">
        <f>(V24/(Q24*50) + 1)^-1</f>
        <v>0.95338983050847448</v>
      </c>
      <c r="X24" s="22">
        <f t="shared" si="6"/>
        <v>2.0119564510895504E-4</v>
      </c>
      <c r="Y24" s="22">
        <f t="shared" si="7"/>
        <v>0.11177535839386391</v>
      </c>
      <c r="Z24" s="25">
        <f t="shared" si="8"/>
        <v>2.9910726689999261</v>
      </c>
      <c r="AA24" s="29">
        <f t="shared" si="9"/>
        <v>0.27924077994387358</v>
      </c>
    </row>
    <row r="25" spans="1:27" s="14" customFormat="1" x14ac:dyDescent="0.25">
      <c r="A25" s="20" t="s">
        <v>127</v>
      </c>
      <c r="B25" s="20" t="s">
        <v>123</v>
      </c>
      <c r="C25" s="21">
        <v>6</v>
      </c>
      <c r="D25" s="21">
        <v>50</v>
      </c>
      <c r="E25" s="22">
        <v>9000</v>
      </c>
      <c r="F25" s="21">
        <v>8.3000000000000007</v>
      </c>
      <c r="G25" s="20">
        <v>0.9</v>
      </c>
      <c r="H25" s="31">
        <f t="shared" si="1"/>
        <v>0.10843373493975902</v>
      </c>
      <c r="I25" s="21">
        <v>3.6</v>
      </c>
      <c r="J25" s="23">
        <v>1.3882000000000001</v>
      </c>
      <c r="K25" s="23">
        <v>8.5099999999999995E-2</v>
      </c>
      <c r="L25" s="23">
        <v>1E-3</v>
      </c>
      <c r="M25" s="31">
        <f t="shared" si="2"/>
        <v>1.1750881316098709E-2</v>
      </c>
      <c r="N25" s="20">
        <f t="shared" si="3"/>
        <v>18.043478260869566</v>
      </c>
      <c r="O25" s="20"/>
      <c r="P25" s="22">
        <f t="shared" si="0"/>
        <v>5.5555555555555558E-5</v>
      </c>
      <c r="Q25" s="22">
        <v>180000</v>
      </c>
      <c r="R25" s="22">
        <v>440000</v>
      </c>
      <c r="S25" s="22">
        <v>0</v>
      </c>
      <c r="T25" s="22">
        <v>6.3999999999999999E-11</v>
      </c>
      <c r="U25" s="22">
        <v>7.2E-10</v>
      </c>
      <c r="V25" s="22">
        <f t="shared" si="4"/>
        <v>440000</v>
      </c>
      <c r="W25" s="27">
        <f>(V25/(Q25*50) + 1)^-1</f>
        <v>0.95338983050847448</v>
      </c>
      <c r="X25" s="22">
        <f t="shared" si="6"/>
        <v>3.9422099149229249E-5</v>
      </c>
      <c r="Y25" s="22">
        <f t="shared" si="7"/>
        <v>0.70959778468612644</v>
      </c>
      <c r="Z25" s="25">
        <f t="shared" si="8"/>
        <v>1.1871179572527817</v>
      </c>
      <c r="AA25" s="29">
        <f t="shared" si="9"/>
        <v>0.58578643762690485</v>
      </c>
    </row>
    <row r="26" spans="1:27" s="14" customFormat="1" x14ac:dyDescent="0.25">
      <c r="A26" s="20" t="s">
        <v>127</v>
      </c>
      <c r="B26" s="20" t="s">
        <v>123</v>
      </c>
      <c r="C26" s="21">
        <v>6</v>
      </c>
      <c r="D26" s="21">
        <v>75</v>
      </c>
      <c r="E26" s="22">
        <v>1000</v>
      </c>
      <c r="F26" s="21">
        <v>9.1</v>
      </c>
      <c r="G26" s="20">
        <v>0.9</v>
      </c>
      <c r="H26" s="31">
        <f t="shared" si="1"/>
        <v>9.8901098901098911E-2</v>
      </c>
      <c r="I26" s="21">
        <v>6.6</v>
      </c>
      <c r="J26" s="23">
        <v>1.3419000000000001</v>
      </c>
      <c r="K26" s="23">
        <v>0.1888</v>
      </c>
      <c r="L26" s="23">
        <v>3.7000000000000002E-3</v>
      </c>
      <c r="M26" s="31">
        <f t="shared" si="2"/>
        <v>1.9597457627118644E-2</v>
      </c>
      <c r="N26" s="20">
        <f t="shared" si="3"/>
        <v>8.9168432203389827</v>
      </c>
      <c r="O26" s="20"/>
      <c r="P26" s="22">
        <f t="shared" si="0"/>
        <v>7.5000000000000002E-4</v>
      </c>
      <c r="Q26" s="22">
        <v>180000</v>
      </c>
      <c r="R26" s="22">
        <v>440000</v>
      </c>
      <c r="S26" s="22">
        <v>0</v>
      </c>
      <c r="T26" s="22">
        <v>6.3999999999999999E-11</v>
      </c>
      <c r="U26" s="22">
        <v>7.2E-10</v>
      </c>
      <c r="V26" s="22">
        <f t="shared" si="4"/>
        <v>440000</v>
      </c>
      <c r="W26" s="27">
        <f>(V26/(Q26*50) + 1)^-1</f>
        <v>0.95338983050847448</v>
      </c>
      <c r="X26" s="22">
        <f t="shared" si="6"/>
        <v>1.6142024634365878E-4</v>
      </c>
      <c r="Y26" s="22">
        <f t="shared" si="7"/>
        <v>0.21522699512487836</v>
      </c>
      <c r="Z26" s="25">
        <f t="shared" si="8"/>
        <v>2.1555178757665612</v>
      </c>
      <c r="AA26" s="29">
        <f t="shared" si="9"/>
        <v>0.42264973081037427</v>
      </c>
    </row>
    <row r="27" spans="1:27" s="14" customFormat="1" x14ac:dyDescent="0.25">
      <c r="A27" s="20" t="s">
        <v>127</v>
      </c>
      <c r="B27" s="20" t="s">
        <v>123</v>
      </c>
      <c r="C27" s="21">
        <v>7.2</v>
      </c>
      <c r="D27" s="21">
        <v>90</v>
      </c>
      <c r="E27" s="22">
        <v>60</v>
      </c>
      <c r="F27" s="21">
        <v>9.6999999999999993</v>
      </c>
      <c r="G27" s="20">
        <v>0.9</v>
      </c>
      <c r="H27" s="31">
        <f t="shared" si="1"/>
        <v>9.2783505154639179E-2</v>
      </c>
      <c r="I27" s="21">
        <v>8.6</v>
      </c>
      <c r="J27" s="23">
        <v>1.3882000000000001</v>
      </c>
      <c r="K27" s="23">
        <v>0.24759999999999999</v>
      </c>
      <c r="L27" s="23">
        <v>6.4999999999999997E-3</v>
      </c>
      <c r="M27" s="31">
        <f t="shared" si="2"/>
        <v>2.6252019386106624E-2</v>
      </c>
      <c r="N27" s="20">
        <f t="shared" si="3"/>
        <v>7.2475767366720509</v>
      </c>
      <c r="O27" s="20"/>
      <c r="P27" s="22">
        <f t="shared" si="0"/>
        <v>1.4999999999999999E-2</v>
      </c>
      <c r="Q27" s="22">
        <v>180000</v>
      </c>
      <c r="R27" s="22">
        <v>440000</v>
      </c>
      <c r="S27" s="22">
        <v>0</v>
      </c>
      <c r="T27" s="22">
        <v>6.3999999999999999E-11</v>
      </c>
      <c r="U27" s="22">
        <v>7.2E-10</v>
      </c>
      <c r="V27" s="22">
        <f t="shared" si="4"/>
        <v>440000</v>
      </c>
      <c r="W27" s="27">
        <f>(V27/(Q27*50) + 1)^-1</f>
        <v>0.95338983050847448</v>
      </c>
      <c r="X27" s="22">
        <f t="shared" si="6"/>
        <v>2.4434002987004416E-4</v>
      </c>
      <c r="Y27" s="22">
        <f t="shared" si="7"/>
        <v>1.6289335324669613E-2</v>
      </c>
      <c r="Z27" s="25">
        <f t="shared" si="8"/>
        <v>7.8351680948513938</v>
      </c>
      <c r="AA27" s="29">
        <f t="shared" si="9"/>
        <v>0.27924077994387358</v>
      </c>
    </row>
    <row r="28" spans="1:27" x14ac:dyDescent="0.25">
      <c r="K28" s="6"/>
      <c r="L28" s="6"/>
      <c r="M28" s="6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7" x14ac:dyDescent="0.25">
      <c r="L29" s="6"/>
      <c r="M29" s="6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7" x14ac:dyDescent="0.25"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7" x14ac:dyDescent="0.25"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7" x14ac:dyDescent="0.25"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6:25" x14ac:dyDescent="0.25"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6:25" x14ac:dyDescent="0.25"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6:25" x14ac:dyDescent="0.25"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6:25" x14ac:dyDescent="0.25"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6:25" x14ac:dyDescent="0.25"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6:25" x14ac:dyDescent="0.25"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6:25" x14ac:dyDescent="0.25"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6:25" x14ac:dyDescent="0.25"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6:25" x14ac:dyDescent="0.25"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6:25" x14ac:dyDescent="0.25"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6:25" x14ac:dyDescent="0.25"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6:25" x14ac:dyDescent="0.25"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6:25" x14ac:dyDescent="0.25"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6:25" x14ac:dyDescent="0.25">
      <c r="P46" s="1"/>
      <c r="Q46" s="1"/>
      <c r="R46" s="1"/>
      <c r="S46" s="1"/>
      <c r="T46" s="1"/>
      <c r="U46" s="1"/>
      <c r="V46" s="1"/>
      <c r="W46" s="1"/>
      <c r="X46" s="1"/>
      <c r="Y46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3A7D-34C4-4365-A224-10ADB4C6E1CB}">
  <dimension ref="A1:Y60"/>
  <sheetViews>
    <sheetView zoomScale="140" workbookViewId="0">
      <pane ySplit="1" topLeftCell="A40" activePane="bottomLeft" state="frozen"/>
      <selection pane="bottomLeft" activeCell="B10" sqref="B10:C10"/>
    </sheetView>
  </sheetViews>
  <sheetFormatPr defaultColWidth="8.85546875" defaultRowHeight="15" x14ac:dyDescent="0.25"/>
  <cols>
    <col min="1" max="1" width="23" style="47" customWidth="1"/>
    <col min="2" max="2" width="16.7109375" style="47" customWidth="1"/>
    <col min="3" max="3" width="15.7109375" style="47" customWidth="1"/>
    <col min="4" max="4" width="18.85546875" style="47" customWidth="1"/>
    <col min="5" max="6" width="25.7109375" style="47" customWidth="1"/>
    <col min="7" max="7" width="22.7109375" style="47" hidden="1" customWidth="1"/>
    <col min="8" max="11" width="22.7109375" style="47" customWidth="1"/>
    <col min="12" max="12" width="32" style="47" customWidth="1"/>
    <col min="13" max="13" width="35.42578125" style="47" hidden="1" customWidth="1"/>
    <col min="14" max="14" width="16.28515625" style="47" customWidth="1"/>
    <col min="15" max="15" width="29.42578125" style="47" customWidth="1"/>
    <col min="16" max="16" width="36.42578125" style="47" customWidth="1"/>
    <col min="17" max="17" width="41" style="47" customWidth="1"/>
    <col min="18" max="18" width="31.140625" style="47" customWidth="1"/>
    <col min="19" max="19" width="23.85546875" style="47" customWidth="1"/>
    <col min="20" max="20" width="33.140625" style="47" customWidth="1"/>
    <col min="21" max="21" width="32.140625" style="47" customWidth="1"/>
    <col min="22" max="22" width="22" style="47" customWidth="1"/>
    <col min="23" max="23" width="16.28515625" style="47" customWidth="1"/>
    <col min="24" max="24" width="18" style="47" customWidth="1"/>
    <col min="25" max="25" width="16.42578125" style="47" customWidth="1"/>
    <col min="26" max="16384" width="8.85546875" style="47"/>
  </cols>
  <sheetData>
    <row r="1" spans="1:25" x14ac:dyDescent="0.25">
      <c r="A1" s="15" t="s">
        <v>115</v>
      </c>
      <c r="B1" s="15" t="s">
        <v>5</v>
      </c>
      <c r="C1" s="15" t="s">
        <v>117</v>
      </c>
      <c r="D1" s="15" t="s">
        <v>17</v>
      </c>
      <c r="E1" s="15" t="s">
        <v>130</v>
      </c>
      <c r="F1" s="15" t="s">
        <v>131</v>
      </c>
      <c r="G1" s="15" t="s">
        <v>118</v>
      </c>
      <c r="H1" s="15" t="s">
        <v>114</v>
      </c>
      <c r="I1" s="15" t="s">
        <v>128</v>
      </c>
      <c r="J1" s="15" t="s">
        <v>129</v>
      </c>
      <c r="K1" s="15" t="s">
        <v>132</v>
      </c>
      <c r="L1" s="15" t="s">
        <v>119</v>
      </c>
      <c r="M1" s="15" t="s">
        <v>120</v>
      </c>
      <c r="N1" s="15" t="s">
        <v>27</v>
      </c>
      <c r="O1" s="15" t="s">
        <v>21</v>
      </c>
      <c r="P1" s="15" t="s">
        <v>20</v>
      </c>
      <c r="Q1" s="15" t="s">
        <v>19</v>
      </c>
      <c r="R1" s="15" t="s">
        <v>22</v>
      </c>
      <c r="S1" s="15" t="s">
        <v>23</v>
      </c>
      <c r="T1" s="15" t="s">
        <v>25</v>
      </c>
      <c r="U1" s="15" t="s">
        <v>133</v>
      </c>
      <c r="V1" s="15" t="s">
        <v>134</v>
      </c>
      <c r="W1" s="15" t="s">
        <v>135</v>
      </c>
      <c r="X1" s="15" t="s">
        <v>121</v>
      </c>
      <c r="Y1" s="15" t="s">
        <v>122</v>
      </c>
    </row>
    <row r="2" spans="1:25" s="16" customFormat="1" x14ac:dyDescent="0.25">
      <c r="A2" s="17">
        <v>1.3</v>
      </c>
      <c r="B2" s="17">
        <v>5</v>
      </c>
      <c r="C2" s="18">
        <v>1000</v>
      </c>
      <c r="D2" s="17">
        <v>17.3</v>
      </c>
      <c r="E2" s="17">
        <v>0.8</v>
      </c>
      <c r="F2" s="30">
        <f>E2/D2</f>
        <v>4.6242774566473986E-2</v>
      </c>
      <c r="G2" s="17">
        <v>0.6</v>
      </c>
      <c r="H2" s="19">
        <v>1.9857</v>
      </c>
      <c r="I2" s="19">
        <v>7.85E-2</v>
      </c>
      <c r="J2" s="16">
        <v>3.5000000000000001E-3</v>
      </c>
      <c r="K2" s="30">
        <f>J2/I2</f>
        <v>4.4585987261146501E-2</v>
      </c>
      <c r="L2" s="16">
        <f>D2/I2</f>
        <v>220.38216560509554</v>
      </c>
      <c r="N2" s="18">
        <f t="shared" ref="N2:N56" si="0">(1/C2)*(B2/100)</f>
        <v>5.0000000000000002E-5</v>
      </c>
      <c r="O2" s="18">
        <v>1500000</v>
      </c>
      <c r="P2" s="18">
        <v>1000</v>
      </c>
      <c r="Q2" s="18">
        <v>5500000</v>
      </c>
      <c r="R2" s="18">
        <v>1.0999999999999999E-9</v>
      </c>
      <c r="S2" s="18">
        <v>4.9E-9</v>
      </c>
      <c r="T2" s="18">
        <f>P2+(Q2^2*(L2*1000)^2/((96485^2)*S2))^(1/3)</f>
        <v>31817631.387622166</v>
      </c>
      <c r="U2" s="26">
        <f>(T2/(O2*50) + 1)^-1</f>
        <v>0.70213127763373029</v>
      </c>
      <c r="V2" s="18">
        <f>((3.14/4)*(96485^2)*S2/((L2*1000)^2))*(50-T2/O2)^2</f>
        <v>6.1103044369077067E-7</v>
      </c>
      <c r="W2" s="18">
        <f>V2/N2</f>
        <v>1.2220608873815413E-2</v>
      </c>
      <c r="X2" s="24">
        <f>SQRT(1/W2)</f>
        <v>9.0459373944827721</v>
      </c>
      <c r="Y2" s="28">
        <f>1 - SQRT(100/B2) + SQRT(100/B2 - 1)</f>
        <v>0.88676298854109437</v>
      </c>
    </row>
    <row r="3" spans="1:25" s="16" customFormat="1" x14ac:dyDescent="0.25">
      <c r="A3" s="17">
        <v>1.8</v>
      </c>
      <c r="B3" s="17">
        <v>10</v>
      </c>
      <c r="C3" s="18">
        <v>1000</v>
      </c>
      <c r="D3" s="17">
        <v>15</v>
      </c>
      <c r="E3" s="17">
        <v>0.6</v>
      </c>
      <c r="F3" s="30">
        <f t="shared" ref="F3:F56" si="1">E3/D3</f>
        <v>0.04</v>
      </c>
      <c r="G3" s="17">
        <v>1.3</v>
      </c>
      <c r="H3" s="19">
        <v>2.0185</v>
      </c>
      <c r="I3" s="19">
        <v>7.0699999999999999E-2</v>
      </c>
      <c r="J3" s="16">
        <v>2.7000000000000001E-3</v>
      </c>
      <c r="K3" s="30">
        <f t="shared" ref="K3:K56" si="2">J3/I3</f>
        <v>3.818953323903819E-2</v>
      </c>
      <c r="L3" s="16">
        <f t="shared" ref="L3:L56" si="3">D3/I3</f>
        <v>212.16407355021218</v>
      </c>
      <c r="N3" s="18">
        <f t="shared" si="0"/>
        <v>1E-4</v>
      </c>
      <c r="O3" s="18">
        <v>1500000</v>
      </c>
      <c r="P3" s="18">
        <v>1000</v>
      </c>
      <c r="Q3" s="18">
        <v>5500000</v>
      </c>
      <c r="R3" s="18">
        <v>1.0999999999999999E-9</v>
      </c>
      <c r="S3" s="18">
        <v>4.9E-9</v>
      </c>
      <c r="T3" s="18">
        <f t="shared" ref="T3:T27" si="4">P3+(Q3^2*(L3*1000)^2/((96485^2)*S3))^(1/3)</f>
        <v>31021666.810648922</v>
      </c>
      <c r="U3" s="26">
        <f t="shared" ref="U3:U9" si="5">(T3/(O3*50) + 1)^-1</f>
        <v>0.70740257398468787</v>
      </c>
      <c r="V3" s="18">
        <f t="shared" ref="V3:V27" si="6">((3.14/4)*(96485^2)*S3/((L3*1000)^2))*(50-T3/O3)^2</f>
        <v>6.8381191058058065E-7</v>
      </c>
      <c r="W3" s="18">
        <f t="shared" ref="W3:W27" si="7">V3/N3</f>
        <v>6.8381191058058061E-3</v>
      </c>
      <c r="X3" s="24">
        <f t="shared" ref="X3:X27" si="8">SQRT(1/W3)</f>
        <v>12.092933634329562</v>
      </c>
      <c r="Y3" s="28">
        <f t="shared" ref="Y3:Y27" si="9">1 - SQRT(100/B3) + SQRT(100/B3 - 1)</f>
        <v>0.83772233983162048</v>
      </c>
    </row>
    <row r="4" spans="1:25" s="16" customFormat="1" x14ac:dyDescent="0.25">
      <c r="A4" s="17">
        <v>4.8</v>
      </c>
      <c r="B4" s="17">
        <v>50</v>
      </c>
      <c r="C4" s="18">
        <v>1000</v>
      </c>
      <c r="D4" s="17">
        <v>14.2</v>
      </c>
      <c r="E4" s="17">
        <v>0.3</v>
      </c>
      <c r="F4" s="30">
        <f t="shared" si="1"/>
        <v>2.1126760563380281E-2</v>
      </c>
      <c r="G4" s="17">
        <v>7</v>
      </c>
      <c r="H4" s="19">
        <v>1.8979999999999999</v>
      </c>
      <c r="I4" s="19">
        <v>0.21</v>
      </c>
      <c r="J4" s="16">
        <v>6.1999999999999998E-3</v>
      </c>
      <c r="K4" s="30">
        <f t="shared" si="2"/>
        <v>2.9523809523809525E-2</v>
      </c>
      <c r="L4" s="16">
        <f t="shared" si="3"/>
        <v>67.61904761904762</v>
      </c>
      <c r="N4" s="18">
        <f t="shared" si="0"/>
        <v>5.0000000000000001E-4</v>
      </c>
      <c r="O4" s="18">
        <v>1500000</v>
      </c>
      <c r="P4" s="18">
        <v>1000</v>
      </c>
      <c r="Q4" s="18">
        <v>5500000</v>
      </c>
      <c r="R4" s="18">
        <v>1.0999999999999999E-9</v>
      </c>
      <c r="S4" s="18">
        <v>4.9E-9</v>
      </c>
      <c r="T4" s="18">
        <f t="shared" si="4"/>
        <v>14474801.04686654</v>
      </c>
      <c r="U4" s="26">
        <f t="shared" si="5"/>
        <v>0.83822483115346968</v>
      </c>
      <c r="V4" s="18">
        <f t="shared" si="6"/>
        <v>1.2750792347240836E-5</v>
      </c>
      <c r="W4" s="18">
        <f t="shared" si="7"/>
        <v>2.5501584694481671E-2</v>
      </c>
      <c r="X4" s="24">
        <f t="shared" si="8"/>
        <v>6.2620483367480562</v>
      </c>
      <c r="Y4" s="28">
        <f t="shared" si="9"/>
        <v>0.58578643762690485</v>
      </c>
    </row>
    <row r="5" spans="1:25" s="16" customFormat="1" x14ac:dyDescent="0.25">
      <c r="A5" s="17">
        <v>8</v>
      </c>
      <c r="B5" s="17">
        <v>50</v>
      </c>
      <c r="C5" s="18">
        <v>1000</v>
      </c>
      <c r="D5" s="17">
        <v>17.100000000000001</v>
      </c>
      <c r="E5" s="17">
        <v>0.3</v>
      </c>
      <c r="F5" s="30">
        <f t="shared" si="1"/>
        <v>1.7543859649122806E-2</v>
      </c>
      <c r="G5" s="17">
        <v>8.4</v>
      </c>
      <c r="H5" s="19">
        <v>1.9036</v>
      </c>
      <c r="I5" s="19">
        <v>0.2445</v>
      </c>
      <c r="J5" s="16">
        <v>8.3000000000000001E-3</v>
      </c>
      <c r="K5" s="30">
        <f t="shared" si="2"/>
        <v>3.3946830265848674E-2</v>
      </c>
      <c r="L5" s="16">
        <f t="shared" si="3"/>
        <v>69.938650306748471</v>
      </c>
      <c r="N5" s="18">
        <f t="shared" si="0"/>
        <v>5.0000000000000001E-4</v>
      </c>
      <c r="O5" s="18">
        <v>1500000</v>
      </c>
      <c r="P5" s="18">
        <v>1000</v>
      </c>
      <c r="Q5" s="18">
        <v>5500000</v>
      </c>
      <c r="R5" s="18">
        <v>1.0999999999999999E-9</v>
      </c>
      <c r="S5" s="18">
        <v>4.9E-9</v>
      </c>
      <c r="T5" s="18">
        <f t="shared" si="4"/>
        <v>14803942.885218341</v>
      </c>
      <c r="U5" s="26">
        <f t="shared" si="5"/>
        <v>0.8351526401893089</v>
      </c>
      <c r="V5" s="18">
        <f t="shared" si="6"/>
        <v>1.1789745175925482E-5</v>
      </c>
      <c r="W5" s="18">
        <f t="shared" si="7"/>
        <v>2.3579490351850963E-2</v>
      </c>
      <c r="X5" s="24">
        <f t="shared" si="8"/>
        <v>6.512275920207296</v>
      </c>
      <c r="Y5" s="28">
        <f t="shared" si="9"/>
        <v>0.58578643762690485</v>
      </c>
    </row>
    <row r="6" spans="1:25" s="16" customFormat="1" x14ac:dyDescent="0.25">
      <c r="A6" s="17">
        <v>2.4</v>
      </c>
      <c r="B6" s="17">
        <v>5</v>
      </c>
      <c r="C6" s="18">
        <v>2000</v>
      </c>
      <c r="D6" s="17">
        <v>22.2</v>
      </c>
      <c r="E6" s="17">
        <v>1.2</v>
      </c>
      <c r="F6" s="30">
        <f t="shared" si="1"/>
        <v>5.4054054054054057E-2</v>
      </c>
      <c r="G6" s="17">
        <v>0.9</v>
      </c>
      <c r="H6" s="19">
        <v>1.9774</v>
      </c>
      <c r="I6" s="19">
        <v>0.1183</v>
      </c>
      <c r="J6" s="16">
        <v>4.4000000000000003E-3</v>
      </c>
      <c r="K6" s="30">
        <f t="shared" si="2"/>
        <v>3.7193575655114115E-2</v>
      </c>
      <c r="L6" s="16">
        <f t="shared" si="3"/>
        <v>187.65849535080304</v>
      </c>
      <c r="N6" s="18">
        <f t="shared" si="0"/>
        <v>2.5000000000000001E-5</v>
      </c>
      <c r="O6" s="18">
        <v>1500000</v>
      </c>
      <c r="P6" s="18">
        <v>1000</v>
      </c>
      <c r="Q6" s="18">
        <v>5500000</v>
      </c>
      <c r="R6" s="18">
        <v>1.0999999999999999E-9</v>
      </c>
      <c r="S6" s="18">
        <v>4.9E-9</v>
      </c>
      <c r="T6" s="18">
        <f t="shared" si="4"/>
        <v>28584498.624215472</v>
      </c>
      <c r="U6" s="26">
        <f t="shared" si="5"/>
        <v>0.72404656098288889</v>
      </c>
      <c r="V6" s="18">
        <f t="shared" si="6"/>
        <v>9.7362665130175304E-7</v>
      </c>
      <c r="W6" s="18">
        <f t="shared" si="7"/>
        <v>3.8945066052070119E-2</v>
      </c>
      <c r="X6" s="24">
        <f t="shared" si="8"/>
        <v>5.0672668747436633</v>
      </c>
      <c r="Y6" s="28">
        <f t="shared" si="9"/>
        <v>0.88676298854109437</v>
      </c>
    </row>
    <row r="7" spans="1:25" s="16" customFormat="1" x14ac:dyDescent="0.25">
      <c r="A7" s="17">
        <v>3.5</v>
      </c>
      <c r="B7" s="17">
        <v>10</v>
      </c>
      <c r="C7" s="18">
        <v>2000</v>
      </c>
      <c r="D7" s="17">
        <v>23.1</v>
      </c>
      <c r="E7" s="17">
        <v>0.9</v>
      </c>
      <c r="F7" s="30">
        <f t="shared" si="1"/>
        <v>3.896103896103896E-2</v>
      </c>
      <c r="G7" s="17">
        <v>2.1</v>
      </c>
      <c r="H7" s="19">
        <v>2.0148000000000001</v>
      </c>
      <c r="I7" s="19">
        <v>0.1041</v>
      </c>
      <c r="J7" s="16">
        <v>3.2000000000000002E-3</v>
      </c>
      <c r="K7" s="30">
        <f t="shared" si="2"/>
        <v>3.0739673390970224E-2</v>
      </c>
      <c r="L7" s="16">
        <f t="shared" si="3"/>
        <v>221.9020172910663</v>
      </c>
      <c r="N7" s="18">
        <f t="shared" si="0"/>
        <v>5.0000000000000002E-5</v>
      </c>
      <c r="O7" s="18">
        <v>1500000</v>
      </c>
      <c r="P7" s="18">
        <v>1000</v>
      </c>
      <c r="Q7" s="18">
        <v>5500000</v>
      </c>
      <c r="R7" s="18">
        <v>1.0999999999999999E-9</v>
      </c>
      <c r="S7" s="18">
        <v>4.9E-9</v>
      </c>
      <c r="T7" s="18">
        <f t="shared" si="4"/>
        <v>31963744.690620057</v>
      </c>
      <c r="U7" s="26">
        <f t="shared" si="5"/>
        <v>0.7011721608749637</v>
      </c>
      <c r="V7" s="18">
        <f t="shared" si="6"/>
        <v>5.9861730969723472E-7</v>
      </c>
      <c r="W7" s="18">
        <f t="shared" si="7"/>
        <v>1.1972346193944694E-2</v>
      </c>
      <c r="X7" s="24">
        <f t="shared" si="8"/>
        <v>9.1392459880008108</v>
      </c>
      <c r="Y7" s="28">
        <f t="shared" si="9"/>
        <v>0.83772233983162048</v>
      </c>
    </row>
    <row r="8" spans="1:25" s="16" customFormat="1" x14ac:dyDescent="0.25">
      <c r="A8" s="17">
        <v>2.8</v>
      </c>
      <c r="B8" s="17">
        <v>15</v>
      </c>
      <c r="C8" s="18">
        <v>2000</v>
      </c>
      <c r="D8" s="17">
        <v>14.9</v>
      </c>
      <c r="E8" s="17">
        <v>0.6</v>
      </c>
      <c r="F8" s="30">
        <f t="shared" si="1"/>
        <v>4.0268456375838924E-2</v>
      </c>
      <c r="G8" s="17">
        <v>2.1</v>
      </c>
      <c r="H8" s="19">
        <v>2.0097</v>
      </c>
      <c r="I8" s="19">
        <v>6.2799999999999995E-2</v>
      </c>
      <c r="J8" s="16">
        <v>2.3999999999999998E-3</v>
      </c>
      <c r="K8" s="30">
        <f t="shared" si="2"/>
        <v>3.8216560509554139E-2</v>
      </c>
      <c r="L8" s="16">
        <f t="shared" si="3"/>
        <v>237.26114649681531</v>
      </c>
      <c r="N8" s="18">
        <f t="shared" si="0"/>
        <v>7.4999999999999993E-5</v>
      </c>
      <c r="O8" s="18">
        <v>1500000</v>
      </c>
      <c r="P8" s="18">
        <v>1000</v>
      </c>
      <c r="Q8" s="18">
        <v>5500000</v>
      </c>
      <c r="R8" s="18">
        <v>1.0999999999999999E-9</v>
      </c>
      <c r="S8" s="18">
        <v>4.9E-9</v>
      </c>
      <c r="T8" s="18">
        <f t="shared" si="4"/>
        <v>33422118.631380659</v>
      </c>
      <c r="U8" s="26">
        <f t="shared" si="5"/>
        <v>0.69174077159466907</v>
      </c>
      <c r="V8" s="18">
        <f t="shared" si="6"/>
        <v>4.8873594725680571E-7</v>
      </c>
      <c r="W8" s="18">
        <f t="shared" si="7"/>
        <v>6.5164792967574098E-3</v>
      </c>
      <c r="X8" s="24">
        <f t="shared" si="8"/>
        <v>12.387780175813026</v>
      </c>
      <c r="Y8" s="28">
        <f t="shared" si="9"/>
        <v>0.79848724537600546</v>
      </c>
    </row>
    <row r="9" spans="1:25" s="16" customFormat="1" x14ac:dyDescent="0.25">
      <c r="A9" s="17">
        <v>5</v>
      </c>
      <c r="B9" s="17">
        <v>15</v>
      </c>
      <c r="C9" s="18">
        <v>2000</v>
      </c>
      <c r="D9" s="17">
        <v>25</v>
      </c>
      <c r="E9" s="17">
        <v>0.8</v>
      </c>
      <c r="F9" s="30">
        <f t="shared" si="1"/>
        <v>3.2000000000000001E-2</v>
      </c>
      <c r="G9" s="17">
        <v>3.6</v>
      </c>
      <c r="H9" s="19">
        <v>2.0192000000000001</v>
      </c>
      <c r="I9" s="19">
        <v>0.1565</v>
      </c>
      <c r="J9" s="16">
        <v>3.3E-3</v>
      </c>
      <c r="K9" s="30">
        <f t="shared" si="2"/>
        <v>2.1086261980830672E-2</v>
      </c>
      <c r="L9" s="16">
        <f t="shared" si="3"/>
        <v>159.7444089456869</v>
      </c>
      <c r="N9" s="18">
        <f t="shared" si="0"/>
        <v>7.4999999999999993E-5</v>
      </c>
      <c r="O9" s="18">
        <v>1500000</v>
      </c>
      <c r="P9" s="18">
        <v>1000</v>
      </c>
      <c r="Q9" s="18">
        <v>5500000</v>
      </c>
      <c r="R9" s="18">
        <v>1.0999999999999999E-9</v>
      </c>
      <c r="S9" s="18">
        <v>4.9E-9</v>
      </c>
      <c r="T9" s="18">
        <f t="shared" si="4"/>
        <v>25674614.160315808</v>
      </c>
      <c r="U9" s="26">
        <f t="shared" si="5"/>
        <v>0.74497429789568248</v>
      </c>
      <c r="V9" s="18">
        <f t="shared" si="6"/>
        <v>1.5173734112897285E-6</v>
      </c>
      <c r="W9" s="18">
        <f t="shared" si="7"/>
        <v>2.023164548386305E-2</v>
      </c>
      <c r="X9" s="24">
        <f t="shared" si="8"/>
        <v>7.0304706062997111</v>
      </c>
      <c r="Y9" s="28">
        <f t="shared" si="9"/>
        <v>0.79848724537600546</v>
      </c>
    </row>
    <row r="10" spans="1:25" s="16" customFormat="1" x14ac:dyDescent="0.25">
      <c r="A10" s="17">
        <v>3.4</v>
      </c>
      <c r="B10" s="17">
        <v>5</v>
      </c>
      <c r="C10" s="18">
        <v>4000</v>
      </c>
      <c r="D10" s="17">
        <v>20.8</v>
      </c>
      <c r="E10" s="17">
        <v>1.5</v>
      </c>
      <c r="F10" s="30">
        <f t="shared" si="1"/>
        <v>7.2115384615384609E-2</v>
      </c>
      <c r="G10" s="17">
        <v>0.8</v>
      </c>
      <c r="H10" s="19">
        <v>1.9913000000000001</v>
      </c>
      <c r="I10" s="19">
        <v>0.21429999999999999</v>
      </c>
      <c r="J10" s="16">
        <v>7.4000000000000003E-3</v>
      </c>
      <c r="K10" s="30">
        <f t="shared" si="2"/>
        <v>3.4531031264582367E-2</v>
      </c>
      <c r="L10" s="16">
        <f t="shared" si="3"/>
        <v>97.060195986934218</v>
      </c>
      <c r="N10" s="18">
        <f t="shared" si="0"/>
        <v>1.2500000000000001E-5</v>
      </c>
      <c r="O10" s="18">
        <v>1500000</v>
      </c>
      <c r="P10" s="18">
        <v>1000</v>
      </c>
      <c r="Q10" s="18">
        <v>5500000</v>
      </c>
      <c r="R10" s="18">
        <v>1.0999999999999999E-9</v>
      </c>
      <c r="S10" s="18">
        <v>4.9E-9</v>
      </c>
      <c r="T10" s="18">
        <f t="shared" si="4"/>
        <v>18418499.842475303</v>
      </c>
      <c r="U10" s="26">
        <f>(T10/(O10*50) + 1)^-1</f>
        <v>0.80283883948540113</v>
      </c>
      <c r="V10" s="18">
        <f t="shared" si="6"/>
        <v>5.4084075305220482E-6</v>
      </c>
      <c r="W10" s="18">
        <f t="shared" si="7"/>
        <v>0.43267260244176381</v>
      </c>
      <c r="X10" s="24">
        <f t="shared" si="8"/>
        <v>1.5202685178184521</v>
      </c>
      <c r="Y10" s="28">
        <f t="shared" si="9"/>
        <v>0.88676298854109437</v>
      </c>
    </row>
    <row r="11" spans="1:25" s="16" customFormat="1" x14ac:dyDescent="0.25">
      <c r="A11" s="17">
        <v>3.5</v>
      </c>
      <c r="B11" s="17">
        <v>10</v>
      </c>
      <c r="C11" s="18">
        <v>4000</v>
      </c>
      <c r="D11" s="17">
        <v>16.7</v>
      </c>
      <c r="E11" s="17">
        <v>0.9</v>
      </c>
      <c r="F11" s="30">
        <f t="shared" si="1"/>
        <v>5.3892215568862277E-2</v>
      </c>
      <c r="G11" s="17">
        <v>1.5</v>
      </c>
      <c r="H11" s="19">
        <v>2.0426000000000002</v>
      </c>
      <c r="I11" s="19">
        <v>0.11550000000000001</v>
      </c>
      <c r="J11" s="19">
        <v>4.1000000000000003E-3</v>
      </c>
      <c r="K11" s="30">
        <f t="shared" si="2"/>
        <v>3.54978354978355E-2</v>
      </c>
      <c r="L11" s="16">
        <f t="shared" si="3"/>
        <v>144.58874458874459</v>
      </c>
      <c r="N11" s="18">
        <f t="shared" si="0"/>
        <v>2.5000000000000001E-5</v>
      </c>
      <c r="O11" s="18">
        <v>1500000</v>
      </c>
      <c r="P11" s="18">
        <v>1000</v>
      </c>
      <c r="Q11" s="18">
        <v>5500000</v>
      </c>
      <c r="R11" s="18">
        <v>1.0999999999999999E-9</v>
      </c>
      <c r="S11" s="18">
        <v>4.9E-9</v>
      </c>
      <c r="T11" s="18">
        <f t="shared" si="4"/>
        <v>24023943.699863963</v>
      </c>
      <c r="U11" s="26">
        <f t="shared" ref="U11:U13" si="10">(T11/(O11*50) + 1)^-1</f>
        <v>0.75739257797407877</v>
      </c>
      <c r="V11" s="18">
        <f t="shared" si="6"/>
        <v>1.978182314075787E-6</v>
      </c>
      <c r="W11" s="18">
        <f t="shared" si="7"/>
        <v>7.9127292563031471E-2</v>
      </c>
      <c r="X11" s="24">
        <f t="shared" si="8"/>
        <v>3.5549774231319038</v>
      </c>
      <c r="Y11" s="28">
        <f t="shared" si="9"/>
        <v>0.83772233983162048</v>
      </c>
    </row>
    <row r="12" spans="1:25" s="16" customFormat="1" x14ac:dyDescent="0.25">
      <c r="A12" s="17">
        <v>3.4</v>
      </c>
      <c r="B12" s="17">
        <v>5</v>
      </c>
      <c r="C12" s="18">
        <v>5000</v>
      </c>
      <c r="D12" s="17">
        <v>17.399999999999999</v>
      </c>
      <c r="E12" s="17">
        <v>1.5</v>
      </c>
      <c r="F12" s="30">
        <f t="shared" si="1"/>
        <v>8.6206896551724144E-2</v>
      </c>
      <c r="G12" s="17">
        <v>0.7</v>
      </c>
      <c r="H12" s="19">
        <v>2.0514999999999999</v>
      </c>
      <c r="I12" s="19">
        <v>0.2011</v>
      </c>
      <c r="J12" s="19">
        <v>5.4999999999999997E-3</v>
      </c>
      <c r="K12" s="30">
        <f t="shared" si="2"/>
        <v>2.7349577324714072E-2</v>
      </c>
      <c r="L12" s="16">
        <f t="shared" si="3"/>
        <v>86.524117354549972</v>
      </c>
      <c r="N12" s="18">
        <f t="shared" si="0"/>
        <v>1.0000000000000001E-5</v>
      </c>
      <c r="O12" s="18">
        <v>1500000</v>
      </c>
      <c r="P12" s="18">
        <v>1000</v>
      </c>
      <c r="Q12" s="18">
        <v>5500000</v>
      </c>
      <c r="R12" s="18">
        <v>1.0999999999999999E-9</v>
      </c>
      <c r="S12" s="18">
        <v>4.9E-9</v>
      </c>
      <c r="T12" s="18">
        <f t="shared" si="4"/>
        <v>17060305.656794455</v>
      </c>
      <c r="U12" s="26">
        <f t="shared" si="10"/>
        <v>0.81468336939488173</v>
      </c>
      <c r="V12" s="18">
        <f t="shared" si="6"/>
        <v>7.1364276172011988E-6</v>
      </c>
      <c r="W12" s="18">
        <f t="shared" si="7"/>
        <v>0.71364276172011987</v>
      </c>
      <c r="X12" s="24">
        <f t="shared" si="8"/>
        <v>1.1837488426128306</v>
      </c>
      <c r="Y12" s="28">
        <f t="shared" si="9"/>
        <v>0.88676298854109437</v>
      </c>
    </row>
    <row r="13" spans="1:25" s="16" customFormat="1" x14ac:dyDescent="0.25">
      <c r="A13" s="17">
        <v>3.5</v>
      </c>
      <c r="B13" s="17">
        <v>10</v>
      </c>
      <c r="C13" s="18">
        <v>5000</v>
      </c>
      <c r="D13" s="17">
        <v>14.7</v>
      </c>
      <c r="E13" s="17">
        <v>1.1000000000000001</v>
      </c>
      <c r="F13" s="30">
        <f t="shared" si="1"/>
        <v>7.4829931972789129E-2</v>
      </c>
      <c r="G13" s="17">
        <v>1.3</v>
      </c>
      <c r="H13" s="19">
        <v>2.0375999999999999</v>
      </c>
      <c r="I13" s="19">
        <v>0.1012</v>
      </c>
      <c r="J13" s="19">
        <v>5.7000000000000002E-3</v>
      </c>
      <c r="K13" s="30">
        <f t="shared" si="2"/>
        <v>5.632411067193676E-2</v>
      </c>
      <c r="L13" s="16">
        <f t="shared" si="3"/>
        <v>145.25691699604744</v>
      </c>
      <c r="N13" s="18">
        <f t="shared" si="0"/>
        <v>2.0000000000000002E-5</v>
      </c>
      <c r="O13" s="18">
        <v>1500000</v>
      </c>
      <c r="P13" s="18">
        <v>1000</v>
      </c>
      <c r="Q13" s="18">
        <v>5500000</v>
      </c>
      <c r="R13" s="18">
        <v>1.0999999999999999E-9</v>
      </c>
      <c r="S13" s="18">
        <v>4.9E-9</v>
      </c>
      <c r="T13" s="18">
        <f t="shared" si="4"/>
        <v>24097896.577597521</v>
      </c>
      <c r="U13" s="26">
        <f t="shared" si="10"/>
        <v>0.75682736556645347</v>
      </c>
      <c r="V13" s="18">
        <f t="shared" si="6"/>
        <v>1.9543423113457715E-6</v>
      </c>
      <c r="W13" s="18">
        <f t="shared" si="7"/>
        <v>9.7717115567288571E-2</v>
      </c>
      <c r="X13" s="24">
        <f t="shared" si="8"/>
        <v>3.1990032444522973</v>
      </c>
      <c r="Y13" s="28">
        <f t="shared" si="9"/>
        <v>0.83772233983162048</v>
      </c>
    </row>
    <row r="14" spans="1:25" s="16" customFormat="1" x14ac:dyDescent="0.25">
      <c r="A14" s="17">
        <v>3.8</v>
      </c>
      <c r="B14" s="17">
        <v>15</v>
      </c>
      <c r="C14" s="18">
        <v>5000</v>
      </c>
      <c r="D14" s="17">
        <v>13.4</v>
      </c>
      <c r="E14" s="17">
        <v>0.8</v>
      </c>
      <c r="F14" s="30">
        <f t="shared" si="1"/>
        <v>5.9701492537313432E-2</v>
      </c>
      <c r="G14" s="17">
        <v>1.8</v>
      </c>
      <c r="H14" s="19">
        <v>2.0287000000000002</v>
      </c>
      <c r="I14" s="19">
        <v>6.5500000000000003E-2</v>
      </c>
      <c r="J14" s="19">
        <v>2.8E-3</v>
      </c>
      <c r="K14" s="30">
        <f t="shared" si="2"/>
        <v>4.2748091603053436E-2</v>
      </c>
      <c r="L14" s="16">
        <f t="shared" si="3"/>
        <v>204.58015267175571</v>
      </c>
      <c r="N14" s="18">
        <f t="shared" si="0"/>
        <v>3.0000000000000001E-5</v>
      </c>
      <c r="O14" s="18">
        <v>1500000</v>
      </c>
      <c r="P14" s="18">
        <v>1000</v>
      </c>
      <c r="Q14" s="18">
        <v>5500000</v>
      </c>
      <c r="R14" s="18">
        <v>1.0999999999999999E-9</v>
      </c>
      <c r="S14" s="18">
        <v>4.9E-9</v>
      </c>
      <c r="T14" s="18">
        <f t="shared" si="4"/>
        <v>30277957.492637079</v>
      </c>
      <c r="U14" s="26">
        <f>(T14/(O14*50) + 1)^-1</f>
        <v>0.71239983930392403</v>
      </c>
      <c r="V14" s="18">
        <f t="shared" si="6"/>
        <v>7.6053478849398734E-7</v>
      </c>
      <c r="W14" s="18">
        <f t="shared" si="7"/>
        <v>2.5351159616466244E-2</v>
      </c>
      <c r="X14" s="24">
        <f t="shared" si="8"/>
        <v>6.2805992812378042</v>
      </c>
      <c r="Y14" s="28">
        <f t="shared" si="9"/>
        <v>0.79848724537600546</v>
      </c>
    </row>
    <row r="15" spans="1:25" s="16" customFormat="1" x14ac:dyDescent="0.25">
      <c r="A15" s="17">
        <v>4.4000000000000004</v>
      </c>
      <c r="B15" s="17">
        <v>15</v>
      </c>
      <c r="C15" s="18">
        <v>6000</v>
      </c>
      <c r="D15" s="17">
        <v>14</v>
      </c>
      <c r="E15" s="17">
        <v>0.9</v>
      </c>
      <c r="F15" s="30">
        <f t="shared" si="1"/>
        <v>6.4285714285714293E-2</v>
      </c>
      <c r="G15" s="17">
        <v>1.9</v>
      </c>
      <c r="H15" s="19">
        <v>2.0514999999999999</v>
      </c>
      <c r="I15" s="19">
        <v>8.3099999999999993E-2</v>
      </c>
      <c r="J15" s="19">
        <v>2.8E-3</v>
      </c>
      <c r="K15" s="30">
        <f t="shared" si="2"/>
        <v>3.3694344163658248E-2</v>
      </c>
      <c r="L15" s="16">
        <f t="shared" si="3"/>
        <v>168.47172081829123</v>
      </c>
      <c r="N15" s="18">
        <f t="shared" si="0"/>
        <v>2.4999999999999998E-5</v>
      </c>
      <c r="O15" s="18">
        <v>1500000</v>
      </c>
      <c r="P15" s="18">
        <v>1000</v>
      </c>
      <c r="Q15" s="18">
        <v>5500000</v>
      </c>
      <c r="R15" s="18">
        <v>1.0999999999999999E-9</v>
      </c>
      <c r="S15" s="18">
        <v>4.9E-9</v>
      </c>
      <c r="T15" s="18">
        <f t="shared" si="4"/>
        <v>26601384.042531468</v>
      </c>
      <c r="U15" s="26">
        <f>(T15/(O15*50) + 1)^-1</f>
        <v>0.73817892056080814</v>
      </c>
      <c r="V15" s="18">
        <f t="shared" si="6"/>
        <v>1.3134534393346059E-6</v>
      </c>
      <c r="W15" s="18">
        <f t="shared" si="7"/>
        <v>5.2538137573384242E-2</v>
      </c>
      <c r="X15" s="24">
        <f t="shared" si="8"/>
        <v>4.3627734676971519</v>
      </c>
      <c r="Y15" s="28">
        <f t="shared" si="9"/>
        <v>0.79848724537600546</v>
      </c>
    </row>
    <row r="16" spans="1:25" s="16" customFormat="1" x14ac:dyDescent="0.25">
      <c r="A16" s="17">
        <v>5.3</v>
      </c>
      <c r="B16" s="17">
        <v>20</v>
      </c>
      <c r="C16" s="18">
        <v>9000</v>
      </c>
      <c r="D16" s="17">
        <v>11.9</v>
      </c>
      <c r="E16" s="17">
        <v>0.8</v>
      </c>
      <c r="F16" s="30">
        <f t="shared" si="1"/>
        <v>6.7226890756302518E-2</v>
      </c>
      <c r="G16" s="17">
        <v>2.2999999999999998</v>
      </c>
      <c r="H16" s="19">
        <v>2.0470000000000002</v>
      </c>
      <c r="I16" s="19">
        <v>8.14E-2</v>
      </c>
      <c r="J16" s="19">
        <v>1.8E-3</v>
      </c>
      <c r="K16" s="30">
        <f t="shared" si="2"/>
        <v>2.2113022113022112E-2</v>
      </c>
      <c r="L16" s="16">
        <f t="shared" si="3"/>
        <v>146.19164619164619</v>
      </c>
      <c r="N16" s="18">
        <f t="shared" si="0"/>
        <v>2.2222222222222223E-5</v>
      </c>
      <c r="O16" s="18">
        <v>1500000</v>
      </c>
      <c r="P16" s="18">
        <v>1000</v>
      </c>
      <c r="Q16" s="18">
        <v>5500000</v>
      </c>
      <c r="R16" s="18">
        <v>1.0999999999999999E-9</v>
      </c>
      <c r="S16" s="18">
        <v>4.9E-9</v>
      </c>
      <c r="T16" s="18">
        <f t="shared" si="4"/>
        <v>24201161.812551029</v>
      </c>
      <c r="U16" s="26">
        <f>(T16/(O16*50) + 1)^-1</f>
        <v>0.75603953249780309</v>
      </c>
      <c r="V16" s="18">
        <f t="shared" si="6"/>
        <v>1.9216100766727386E-6</v>
      </c>
      <c r="W16" s="18">
        <f t="shared" si="7"/>
        <v>8.647245345027324E-2</v>
      </c>
      <c r="X16" s="24">
        <f t="shared" si="8"/>
        <v>3.4006435274524787</v>
      </c>
      <c r="Y16" s="28">
        <f t="shared" si="9"/>
        <v>0.76393202250021019</v>
      </c>
    </row>
    <row r="17" spans="1:25" s="16" customFormat="1" x14ac:dyDescent="0.25">
      <c r="A17" s="17">
        <v>1.7</v>
      </c>
      <c r="B17" s="17">
        <v>10</v>
      </c>
      <c r="C17" s="18">
        <v>500</v>
      </c>
      <c r="D17" s="17">
        <v>16.600000000000001</v>
      </c>
      <c r="E17" s="17">
        <v>0.4</v>
      </c>
      <c r="F17" s="30">
        <f t="shared" si="1"/>
        <v>2.4096385542168672E-2</v>
      </c>
      <c r="G17" s="17">
        <v>1.5</v>
      </c>
      <c r="H17" s="19">
        <v>2.0053000000000001</v>
      </c>
      <c r="I17" s="19">
        <v>0.10249999999999999</v>
      </c>
      <c r="J17" s="19">
        <v>3.7000000000000002E-3</v>
      </c>
      <c r="K17" s="30">
        <f t="shared" si="2"/>
        <v>3.609756097560976E-2</v>
      </c>
      <c r="L17" s="16">
        <f t="shared" si="3"/>
        <v>161.95121951219514</v>
      </c>
      <c r="N17" s="18">
        <f t="shared" si="0"/>
        <v>2.0000000000000001E-4</v>
      </c>
      <c r="O17" s="18">
        <v>1500000</v>
      </c>
      <c r="P17" s="18">
        <v>1000</v>
      </c>
      <c r="Q17" s="18">
        <v>5500000</v>
      </c>
      <c r="R17" s="18">
        <v>1.0999999999999999E-9</v>
      </c>
      <c r="S17" s="18">
        <v>4.9E-9</v>
      </c>
      <c r="T17" s="18">
        <f t="shared" si="4"/>
        <v>25910520.794283651</v>
      </c>
      <c r="U17" s="26">
        <f>(T17/(O17*50) + 1)^-1</f>
        <v>0.7432327116108649</v>
      </c>
      <c r="V17" s="18">
        <f t="shared" si="6"/>
        <v>1.4622149672949451E-6</v>
      </c>
      <c r="W17" s="18">
        <f t="shared" si="7"/>
        <v>7.3110748364747253E-3</v>
      </c>
      <c r="X17" s="24">
        <f t="shared" si="8"/>
        <v>11.695246647247656</v>
      </c>
      <c r="Y17" s="28">
        <f t="shared" si="9"/>
        <v>0.83772233983162048</v>
      </c>
    </row>
    <row r="18" spans="1:25" s="20" customFormat="1" x14ac:dyDescent="0.25">
      <c r="A18" s="21">
        <v>3</v>
      </c>
      <c r="B18" s="21">
        <v>25</v>
      </c>
      <c r="C18" s="22">
        <v>500</v>
      </c>
      <c r="D18" s="21">
        <v>12.2</v>
      </c>
      <c r="E18" s="21">
        <v>0.6</v>
      </c>
      <c r="F18" s="31">
        <f t="shared" si="1"/>
        <v>4.9180327868852458E-2</v>
      </c>
      <c r="G18" s="21">
        <v>2.2999999999999998</v>
      </c>
      <c r="H18" s="23">
        <v>1.3895</v>
      </c>
      <c r="I18" s="23">
        <v>0.1249</v>
      </c>
      <c r="J18" s="23">
        <v>1.4E-3</v>
      </c>
      <c r="K18" s="31">
        <f t="shared" si="2"/>
        <v>1.1208967173738992E-2</v>
      </c>
      <c r="L18" s="20">
        <f t="shared" si="3"/>
        <v>97.678142514011199</v>
      </c>
      <c r="N18" s="22">
        <f t="shared" si="0"/>
        <v>5.0000000000000001E-4</v>
      </c>
      <c r="O18" s="22">
        <v>1500000</v>
      </c>
      <c r="P18" s="22">
        <v>1000</v>
      </c>
      <c r="Q18" s="22">
        <v>5500000</v>
      </c>
      <c r="R18" s="22">
        <v>1.0999999999999999E-9</v>
      </c>
      <c r="S18" s="22">
        <v>4.9E-9</v>
      </c>
      <c r="T18" s="22">
        <f t="shared" si="4"/>
        <v>18496588.754369058</v>
      </c>
      <c r="U18" s="27">
        <f>(T18/(O18*50) + 1)^-1</f>
        <v>0.80216830366974512</v>
      </c>
      <c r="V18" s="22">
        <f t="shared" si="6"/>
        <v>5.3254630094808734E-6</v>
      </c>
      <c r="W18" s="22">
        <f t="shared" si="7"/>
        <v>1.0650926018961747E-2</v>
      </c>
      <c r="X18" s="25">
        <f t="shared" si="8"/>
        <v>9.6896104149091098</v>
      </c>
      <c r="Y18" s="29">
        <f t="shared" si="9"/>
        <v>0.73205080756887719</v>
      </c>
    </row>
    <row r="19" spans="1:25" s="20" customFormat="1" x14ac:dyDescent="0.25">
      <c r="A19" s="21">
        <v>4.5999999999999996</v>
      </c>
      <c r="B19" s="21">
        <v>50</v>
      </c>
      <c r="C19" s="22">
        <v>500</v>
      </c>
      <c r="D19" s="21">
        <v>10.3</v>
      </c>
      <c r="E19" s="21">
        <v>0.7</v>
      </c>
      <c r="F19" s="31">
        <f t="shared" si="1"/>
        <v>6.7961165048543687E-2</v>
      </c>
      <c r="G19" s="21">
        <v>4.5999999999999996</v>
      </c>
      <c r="H19" s="23">
        <v>1.3973</v>
      </c>
      <c r="I19" s="23">
        <v>0.1633</v>
      </c>
      <c r="J19" s="23">
        <v>2.0999999999999999E-3</v>
      </c>
      <c r="K19" s="31">
        <f t="shared" si="2"/>
        <v>1.2859767299448866E-2</v>
      </c>
      <c r="L19" s="20">
        <f t="shared" si="3"/>
        <v>63.074096754439687</v>
      </c>
      <c r="N19" s="22">
        <f t="shared" si="0"/>
        <v>1E-3</v>
      </c>
      <c r="O19" s="22">
        <v>1500000</v>
      </c>
      <c r="P19" s="22">
        <v>1000</v>
      </c>
      <c r="Q19" s="22">
        <v>5500000</v>
      </c>
      <c r="R19" s="22">
        <v>1.0999999999999999E-9</v>
      </c>
      <c r="S19" s="22">
        <v>4.9E-9</v>
      </c>
      <c r="T19" s="22">
        <f t="shared" si="4"/>
        <v>13818747.708324205</v>
      </c>
      <c r="U19" s="27">
        <f t="shared" ref="U19:U22" si="11">(T19/(O19*50) + 1)^-1</f>
        <v>0.84441631902192316</v>
      </c>
      <c r="V19" s="22">
        <f t="shared" si="6"/>
        <v>1.4973987468166396E-5</v>
      </c>
      <c r="W19" s="22">
        <f t="shared" si="7"/>
        <v>1.4973987468166396E-2</v>
      </c>
      <c r="X19" s="25">
        <f t="shared" si="8"/>
        <v>8.1720547451037575</v>
      </c>
      <c r="Y19" s="29">
        <f t="shared" si="9"/>
        <v>0.58578643762690485</v>
      </c>
    </row>
    <row r="20" spans="1:25" s="20" customFormat="1" x14ac:dyDescent="0.25">
      <c r="A20" s="21">
        <v>5.5</v>
      </c>
      <c r="B20" s="21">
        <v>75</v>
      </c>
      <c r="C20" s="22">
        <v>5000</v>
      </c>
      <c r="D20" s="21"/>
      <c r="E20" s="21"/>
      <c r="F20" s="31"/>
      <c r="G20" s="21"/>
      <c r="H20" s="23">
        <v>1.4188000000000001</v>
      </c>
      <c r="I20" s="23">
        <v>0.13750000000000001</v>
      </c>
      <c r="J20" s="23">
        <v>1.8E-3</v>
      </c>
      <c r="K20" s="31">
        <f t="shared" si="2"/>
        <v>1.3090909090909089E-2</v>
      </c>
      <c r="L20" s="20">
        <f t="shared" si="3"/>
        <v>0</v>
      </c>
      <c r="N20" s="22">
        <f t="shared" si="0"/>
        <v>1.5000000000000001E-4</v>
      </c>
      <c r="O20" s="22">
        <v>1500000</v>
      </c>
      <c r="P20" s="22">
        <v>1000</v>
      </c>
      <c r="Q20" s="22">
        <v>5500000</v>
      </c>
      <c r="R20" s="22">
        <v>1.0999999999999999E-9</v>
      </c>
      <c r="S20" s="22">
        <v>4.9E-9</v>
      </c>
      <c r="T20" s="22"/>
      <c r="U20" s="27">
        <f t="shared" si="11"/>
        <v>1</v>
      </c>
      <c r="V20" s="22" t="e">
        <f t="shared" si="6"/>
        <v>#DIV/0!</v>
      </c>
      <c r="W20" s="22" t="e">
        <f t="shared" si="7"/>
        <v>#DIV/0!</v>
      </c>
      <c r="X20" s="25" t="e">
        <f t="shared" si="8"/>
        <v>#DIV/0!</v>
      </c>
      <c r="Y20" s="29">
        <f t="shared" si="9"/>
        <v>0.42264973081037427</v>
      </c>
    </row>
    <row r="21" spans="1:25" s="20" customFormat="1" x14ac:dyDescent="0.25">
      <c r="A21" s="21">
        <v>5</v>
      </c>
      <c r="B21" s="21">
        <v>25</v>
      </c>
      <c r="C21" s="22">
        <v>1000</v>
      </c>
      <c r="D21" s="21">
        <v>19.3</v>
      </c>
      <c r="E21" s="21">
        <v>0.4</v>
      </c>
      <c r="F21" s="31">
        <f t="shared" si="1"/>
        <v>2.072538860103627E-2</v>
      </c>
      <c r="G21" s="21">
        <v>4.5999999999999996</v>
      </c>
      <c r="H21" s="23">
        <v>1.339</v>
      </c>
      <c r="I21" s="23">
        <v>0.15079999999999999</v>
      </c>
      <c r="J21" s="23">
        <v>1.6999999999999999E-3</v>
      </c>
      <c r="K21" s="31">
        <f t="shared" si="2"/>
        <v>1.1273209549071617E-2</v>
      </c>
      <c r="L21" s="20">
        <f t="shared" si="3"/>
        <v>127.98408488063662</v>
      </c>
      <c r="N21" s="22">
        <f t="shared" si="0"/>
        <v>2.5000000000000001E-4</v>
      </c>
      <c r="O21" s="22">
        <v>1500000</v>
      </c>
      <c r="P21" s="22">
        <v>1000</v>
      </c>
      <c r="Q21" s="22">
        <v>5500000</v>
      </c>
      <c r="R21" s="22">
        <v>1.0999999999999999E-9</v>
      </c>
      <c r="S21" s="22">
        <v>4.9E-9</v>
      </c>
      <c r="T21" s="22">
        <f t="shared" si="4"/>
        <v>22147607.587212667</v>
      </c>
      <c r="U21" s="27">
        <f t="shared" si="11"/>
        <v>0.7720210704383017</v>
      </c>
      <c r="V21" s="22">
        <f t="shared" si="6"/>
        <v>2.7140646452893138E-6</v>
      </c>
      <c r="W21" s="22">
        <f t="shared" si="7"/>
        <v>1.0856258581157255E-2</v>
      </c>
      <c r="X21" s="25">
        <f t="shared" si="8"/>
        <v>9.5975395502022884</v>
      </c>
      <c r="Y21" s="29">
        <f t="shared" si="9"/>
        <v>0.73205080756887719</v>
      </c>
    </row>
    <row r="22" spans="1:25" s="20" customFormat="1" x14ac:dyDescent="0.25">
      <c r="A22" s="21">
        <v>5</v>
      </c>
      <c r="B22" s="21">
        <v>50</v>
      </c>
      <c r="C22" s="22">
        <v>1000</v>
      </c>
      <c r="D22" s="21">
        <v>11.4</v>
      </c>
      <c r="E22" s="21">
        <v>0.3</v>
      </c>
      <c r="F22" s="31">
        <f t="shared" si="1"/>
        <v>2.6315789473684209E-2</v>
      </c>
      <c r="G22" s="21">
        <v>5.6</v>
      </c>
      <c r="H22" s="23">
        <v>1.3587</v>
      </c>
      <c r="I22" s="23">
        <v>0.1361</v>
      </c>
      <c r="J22" s="23">
        <v>1.2999999999999999E-3</v>
      </c>
      <c r="K22" s="31">
        <f t="shared" si="2"/>
        <v>9.5518001469507719E-3</v>
      </c>
      <c r="L22" s="20">
        <f t="shared" si="3"/>
        <v>83.761939750183686</v>
      </c>
      <c r="N22" s="22">
        <f t="shared" si="0"/>
        <v>5.0000000000000001E-4</v>
      </c>
      <c r="O22" s="22">
        <v>1500000</v>
      </c>
      <c r="P22" s="22">
        <v>1000</v>
      </c>
      <c r="Q22" s="22">
        <v>5500000</v>
      </c>
      <c r="R22" s="22">
        <v>1.0999999999999999E-9</v>
      </c>
      <c r="S22" s="22">
        <v>4.9E-9</v>
      </c>
      <c r="T22" s="22">
        <f t="shared" si="4"/>
        <v>16695280.883422954</v>
      </c>
      <c r="U22" s="27">
        <f t="shared" si="11"/>
        <v>0.81792649826059705</v>
      </c>
      <c r="V22" s="22">
        <f t="shared" si="6"/>
        <v>7.7111079629805317E-6</v>
      </c>
      <c r="W22" s="22">
        <f t="shared" si="7"/>
        <v>1.5422215925961063E-2</v>
      </c>
      <c r="X22" s="25">
        <f t="shared" si="8"/>
        <v>8.0524235501626809</v>
      </c>
      <c r="Y22" s="29">
        <f t="shared" si="9"/>
        <v>0.58578643762690485</v>
      </c>
    </row>
    <row r="23" spans="1:25" s="20" customFormat="1" x14ac:dyDescent="0.25">
      <c r="A23" s="21">
        <v>5</v>
      </c>
      <c r="B23" s="21">
        <v>50</v>
      </c>
      <c r="C23" s="22">
        <v>5000</v>
      </c>
      <c r="D23" s="21">
        <v>8.5</v>
      </c>
      <c r="E23" s="21">
        <v>0.9</v>
      </c>
      <c r="F23" s="31">
        <f t="shared" si="1"/>
        <v>0.10588235294117647</v>
      </c>
      <c r="G23" s="21">
        <v>3.8</v>
      </c>
      <c r="H23" s="23">
        <v>1.3958999999999999</v>
      </c>
      <c r="I23" s="23">
        <v>0.10580000000000001</v>
      </c>
      <c r="J23" s="23">
        <v>1.1999999999999999E-3</v>
      </c>
      <c r="K23" s="31">
        <f t="shared" si="2"/>
        <v>1.1342155009451795E-2</v>
      </c>
      <c r="L23" s="20">
        <f t="shared" si="3"/>
        <v>80.340264650283544</v>
      </c>
      <c r="N23" s="22">
        <f t="shared" si="0"/>
        <v>1E-4</v>
      </c>
      <c r="O23" s="22">
        <v>1500000</v>
      </c>
      <c r="P23" s="22">
        <v>1000</v>
      </c>
      <c r="Q23" s="22">
        <v>5500000</v>
      </c>
      <c r="R23" s="22">
        <v>1.0999999999999999E-9</v>
      </c>
      <c r="S23" s="22">
        <v>4.9E-9</v>
      </c>
      <c r="T23" s="22">
        <f t="shared" si="4"/>
        <v>16237487.064706314</v>
      </c>
      <c r="U23" s="27">
        <f>(T23/(O23*50) + 1)^-1</f>
        <v>0.82203053166961337</v>
      </c>
      <c r="V23" s="22">
        <f t="shared" si="6"/>
        <v>8.5140662379673783E-6</v>
      </c>
      <c r="W23" s="22">
        <f t="shared" si="7"/>
        <v>8.5140662379673784E-2</v>
      </c>
      <c r="X23" s="25">
        <f t="shared" si="8"/>
        <v>3.4271371734568241</v>
      </c>
      <c r="Y23" s="29">
        <f t="shared" si="9"/>
        <v>0.58578643762690485</v>
      </c>
    </row>
    <row r="24" spans="1:25" s="20" customFormat="1" x14ac:dyDescent="0.25">
      <c r="A24" s="21">
        <v>6.5</v>
      </c>
      <c r="B24" s="21">
        <v>90</v>
      </c>
      <c r="C24" s="22">
        <v>500</v>
      </c>
      <c r="D24" s="21">
        <v>8.6</v>
      </c>
      <c r="E24" s="21">
        <v>0.8</v>
      </c>
      <c r="F24" s="31">
        <f t="shared" si="1"/>
        <v>9.3023255813953501E-2</v>
      </c>
      <c r="G24" s="21">
        <v>7.6</v>
      </c>
      <c r="H24" s="23">
        <v>1.3028999999999999</v>
      </c>
      <c r="I24" s="23">
        <v>0.19919999999999999</v>
      </c>
      <c r="J24" s="23">
        <v>3.3999999999999998E-3</v>
      </c>
      <c r="K24" s="31">
        <f t="shared" si="2"/>
        <v>1.7068273092369479E-2</v>
      </c>
      <c r="L24" s="20">
        <f t="shared" si="3"/>
        <v>43.172690763052209</v>
      </c>
      <c r="N24" s="22">
        <f t="shared" si="0"/>
        <v>1.8000000000000002E-3</v>
      </c>
      <c r="O24" s="22">
        <v>1500000</v>
      </c>
      <c r="P24" s="22">
        <v>1000</v>
      </c>
      <c r="Q24" s="22">
        <v>5500000</v>
      </c>
      <c r="R24" s="22">
        <v>1.0999999999999999E-9</v>
      </c>
      <c r="S24" s="22">
        <v>4.9E-9</v>
      </c>
      <c r="T24" s="22">
        <f t="shared" si="4"/>
        <v>10732884.177796731</v>
      </c>
      <c r="U24" s="27">
        <f>(T24/(O24*50) + 1)^-1</f>
        <v>0.87481018187212289</v>
      </c>
      <c r="V24" s="22">
        <f t="shared" si="6"/>
        <v>3.5266487523527154E-5</v>
      </c>
      <c r="W24" s="22">
        <f t="shared" si="7"/>
        <v>1.9592493068626194E-2</v>
      </c>
      <c r="X24" s="25">
        <f t="shared" si="8"/>
        <v>7.1442254169945478</v>
      </c>
      <c r="Y24" s="29">
        <f t="shared" si="9"/>
        <v>0.27924077994387358</v>
      </c>
    </row>
    <row r="25" spans="1:25" s="20" customFormat="1" x14ac:dyDescent="0.25">
      <c r="A25" s="21">
        <v>6</v>
      </c>
      <c r="B25" s="21">
        <v>50</v>
      </c>
      <c r="C25" s="22">
        <v>9000</v>
      </c>
      <c r="D25" s="21">
        <v>8.3000000000000007</v>
      </c>
      <c r="E25" s="21">
        <v>0.9</v>
      </c>
      <c r="F25" s="31">
        <f t="shared" si="1"/>
        <v>0.10843373493975902</v>
      </c>
      <c r="G25" s="21">
        <v>3.6</v>
      </c>
      <c r="H25" s="23">
        <v>1.3882000000000001</v>
      </c>
      <c r="I25" s="23">
        <v>8.5099999999999995E-2</v>
      </c>
      <c r="J25" s="23">
        <v>1E-3</v>
      </c>
      <c r="K25" s="31">
        <f t="shared" si="2"/>
        <v>1.1750881316098709E-2</v>
      </c>
      <c r="L25" s="20">
        <f t="shared" si="3"/>
        <v>97.532314923619282</v>
      </c>
      <c r="N25" s="22">
        <f t="shared" si="0"/>
        <v>5.5555555555555558E-5</v>
      </c>
      <c r="O25" s="22">
        <v>1500000</v>
      </c>
      <c r="P25" s="22">
        <v>1000</v>
      </c>
      <c r="Q25" s="22">
        <v>5500000</v>
      </c>
      <c r="R25" s="22">
        <v>1.0999999999999999E-9</v>
      </c>
      <c r="S25" s="22">
        <v>4.9E-9</v>
      </c>
      <c r="T25" s="22">
        <f t="shared" si="4"/>
        <v>18478175.636652477</v>
      </c>
      <c r="U25" s="27">
        <f>(T25/(O25*50) + 1)^-1</f>
        <v>0.80232631295162715</v>
      </c>
      <c r="V25" s="22">
        <f t="shared" si="6"/>
        <v>5.344881719130253E-6</v>
      </c>
      <c r="W25" s="22">
        <f t="shared" si="7"/>
        <v>9.6207870944344548E-2</v>
      </c>
      <c r="X25" s="25">
        <f t="shared" si="8"/>
        <v>3.2239975123954241</v>
      </c>
      <c r="Y25" s="29">
        <f t="shared" si="9"/>
        <v>0.58578643762690485</v>
      </c>
    </row>
    <row r="26" spans="1:25" s="20" customFormat="1" x14ac:dyDescent="0.25">
      <c r="A26" s="21">
        <v>6</v>
      </c>
      <c r="B26" s="21">
        <v>75</v>
      </c>
      <c r="C26" s="22">
        <v>1000</v>
      </c>
      <c r="D26" s="21">
        <v>9.1</v>
      </c>
      <c r="E26" s="21">
        <v>0.9</v>
      </c>
      <c r="F26" s="31">
        <f t="shared" si="1"/>
        <v>9.8901098901098911E-2</v>
      </c>
      <c r="G26" s="21">
        <v>6.6</v>
      </c>
      <c r="H26" s="23">
        <v>1.3419000000000001</v>
      </c>
      <c r="I26" s="23">
        <v>0.1888</v>
      </c>
      <c r="J26" s="23">
        <v>3.7000000000000002E-3</v>
      </c>
      <c r="K26" s="31">
        <f t="shared" si="2"/>
        <v>1.9597457627118644E-2</v>
      </c>
      <c r="L26" s="20">
        <f t="shared" si="3"/>
        <v>48.199152542372879</v>
      </c>
      <c r="N26" s="22">
        <f t="shared" si="0"/>
        <v>7.5000000000000002E-4</v>
      </c>
      <c r="O26" s="22">
        <v>1500000</v>
      </c>
      <c r="P26" s="22">
        <v>1000</v>
      </c>
      <c r="Q26" s="22">
        <v>5500000</v>
      </c>
      <c r="R26" s="22">
        <v>1.0999999999999999E-9</v>
      </c>
      <c r="S26" s="22">
        <v>4.9E-9</v>
      </c>
      <c r="T26" s="22">
        <f t="shared" si="4"/>
        <v>11550490.707547184</v>
      </c>
      <c r="U26" s="27">
        <f>(T26/(O26*50) + 1)^-1</f>
        <v>0.86654621350933614</v>
      </c>
      <c r="V26" s="22">
        <f t="shared" si="6"/>
        <v>2.7579129345929666E-5</v>
      </c>
      <c r="W26" s="22">
        <f t="shared" si="7"/>
        <v>3.6772172461239552E-2</v>
      </c>
      <c r="X26" s="25">
        <f t="shared" si="8"/>
        <v>5.2148324084229287</v>
      </c>
      <c r="Y26" s="29">
        <f t="shared" si="9"/>
        <v>0.42264973081037427</v>
      </c>
    </row>
    <row r="27" spans="1:25" s="20" customFormat="1" x14ac:dyDescent="0.25">
      <c r="A27" s="21">
        <v>7.2</v>
      </c>
      <c r="B27" s="21">
        <v>90</v>
      </c>
      <c r="C27" s="22">
        <v>60</v>
      </c>
      <c r="D27" s="21">
        <v>9.6999999999999993</v>
      </c>
      <c r="E27" s="21">
        <v>0.9</v>
      </c>
      <c r="F27" s="31">
        <f t="shared" si="1"/>
        <v>9.2783505154639179E-2</v>
      </c>
      <c r="G27" s="21">
        <v>8.6</v>
      </c>
      <c r="H27" s="23">
        <v>1.3882000000000001</v>
      </c>
      <c r="I27" s="23">
        <v>0.24759999999999999</v>
      </c>
      <c r="J27" s="23">
        <v>6.4999999999999997E-3</v>
      </c>
      <c r="K27" s="31">
        <f t="shared" si="2"/>
        <v>2.6252019386106624E-2</v>
      </c>
      <c r="L27" s="20">
        <f>D27/I27</f>
        <v>39.176090468497577</v>
      </c>
      <c r="N27" s="22">
        <f t="shared" si="0"/>
        <v>1.4999999999999999E-2</v>
      </c>
      <c r="O27" s="22">
        <v>1500000</v>
      </c>
      <c r="P27" s="22">
        <v>1000</v>
      </c>
      <c r="Q27" s="22">
        <v>5500000</v>
      </c>
      <c r="R27" s="22">
        <v>1.0999999999999999E-9</v>
      </c>
      <c r="S27" s="22">
        <v>4.9E-9</v>
      </c>
      <c r="T27" s="22">
        <f t="shared" si="4"/>
        <v>10059903.184439206</v>
      </c>
      <c r="U27" s="27">
        <f>(T27/(O27*50) + 1)^-1</f>
        <v>0.88173154673564735</v>
      </c>
      <c r="V27" s="22">
        <f t="shared" si="6"/>
        <v>4.37307067991822E-5</v>
      </c>
      <c r="W27" s="22">
        <f t="shared" si="7"/>
        <v>2.9153804532788133E-3</v>
      </c>
      <c r="X27" s="25">
        <f t="shared" si="8"/>
        <v>18.520486096702964</v>
      </c>
      <c r="Y27" s="29">
        <f t="shared" si="9"/>
        <v>0.27924077994387358</v>
      </c>
    </row>
    <row r="28" spans="1:25" s="41" customFormat="1" x14ac:dyDescent="0.25">
      <c r="A28" s="41">
        <v>13.3</v>
      </c>
      <c r="B28" s="41">
        <v>50</v>
      </c>
      <c r="C28" s="43">
        <v>1000</v>
      </c>
      <c r="D28" s="55"/>
      <c r="E28" s="55"/>
      <c r="F28" s="45" t="e">
        <f t="shared" si="1"/>
        <v>#DIV/0!</v>
      </c>
      <c r="H28" s="42">
        <v>1.3374999999999999</v>
      </c>
      <c r="I28" s="42">
        <v>0.52810000000000001</v>
      </c>
      <c r="J28" s="42">
        <v>1.3299999999999999E-2</v>
      </c>
      <c r="K28" s="45">
        <f t="shared" si="2"/>
        <v>2.5184624124218895E-2</v>
      </c>
      <c r="N28" s="43"/>
      <c r="O28" s="43"/>
      <c r="P28" s="43"/>
      <c r="Q28" s="43"/>
      <c r="R28" s="43"/>
      <c r="S28" s="43"/>
      <c r="T28" s="43" t="e">
        <f t="shared" ref="T28:T56" si="12">P28+(Q28^2*(L28*1000)^2/((96485^2)*S28))^(1/3)</f>
        <v>#DIV/0!</v>
      </c>
      <c r="U28" s="44" t="e">
        <f t="shared" ref="U28:U56" si="13">(T28/(O28*50) + 1)^-1</f>
        <v>#DIV/0!</v>
      </c>
      <c r="V28" s="43" t="e">
        <f t="shared" ref="V28:V56" si="14">((3.14/4)*(96485^2)*S28/((L28*1000)^2))*(50-T28/O28)^2</f>
        <v>#DIV/0!</v>
      </c>
      <c r="W28" s="43" t="e">
        <f t="shared" ref="W28:W47" si="15">V28/N28</f>
        <v>#DIV/0!</v>
      </c>
      <c r="X28" s="48" t="e">
        <f t="shared" ref="X28:X47" si="16">SQRT(1/W28)</f>
        <v>#DIV/0!</v>
      </c>
      <c r="Y28" s="46">
        <f t="shared" ref="Y28:Y56" si="17">1 - SQRT(100/B28) + SQRT(100/B28 - 1)</f>
        <v>0.58578643762690485</v>
      </c>
    </row>
    <row r="29" spans="1:25" s="41" customFormat="1" x14ac:dyDescent="0.25">
      <c r="A29" s="41">
        <v>6.6</v>
      </c>
      <c r="B29" s="41">
        <v>5</v>
      </c>
      <c r="C29" s="43">
        <v>7000</v>
      </c>
      <c r="D29" s="55">
        <v>27.5</v>
      </c>
      <c r="E29" s="55">
        <v>3.2</v>
      </c>
      <c r="F29" s="45">
        <f t="shared" si="1"/>
        <v>0.11636363636363636</v>
      </c>
      <c r="G29" s="41">
        <v>0.8</v>
      </c>
      <c r="H29" s="42">
        <v>1.4448000000000001</v>
      </c>
      <c r="I29" s="42">
        <v>0.50039999999999996</v>
      </c>
      <c r="J29" s="42">
        <v>2.01E-2</v>
      </c>
      <c r="K29" s="45">
        <f t="shared" si="2"/>
        <v>4.0167865707434053E-2</v>
      </c>
      <c r="L29" s="41">
        <f t="shared" si="3"/>
        <v>54.956035171862517</v>
      </c>
      <c r="N29" s="43">
        <f t="shared" si="0"/>
        <v>7.1428571428571436E-6</v>
      </c>
      <c r="O29" s="43">
        <v>1500000</v>
      </c>
      <c r="P29" s="43">
        <v>1000</v>
      </c>
      <c r="Q29" s="43">
        <v>5500000</v>
      </c>
      <c r="R29" s="43">
        <v>1.0999999999999999E-9</v>
      </c>
      <c r="S29" s="43">
        <v>4.9E-9</v>
      </c>
      <c r="T29" s="43">
        <f t="shared" si="12"/>
        <v>12606115.440689743</v>
      </c>
      <c r="U29" s="44">
        <f t="shared" si="13"/>
        <v>0.85610461807059335</v>
      </c>
      <c r="V29" s="43">
        <f t="shared" si="14"/>
        <v>2.0514270865299574E-5</v>
      </c>
      <c r="W29" s="43">
        <f t="shared" si="15"/>
        <v>2.87199792114194</v>
      </c>
      <c r="X29" s="48">
        <f t="shared" si="16"/>
        <v>0.59007598415299711</v>
      </c>
      <c r="Y29" s="46">
        <f t="shared" si="17"/>
        <v>0.88676298854109437</v>
      </c>
    </row>
    <row r="30" spans="1:25" s="41" customFormat="1" x14ac:dyDescent="0.25">
      <c r="A30" s="41">
        <v>5.7</v>
      </c>
      <c r="B30" s="41">
        <v>10</v>
      </c>
      <c r="C30" s="43">
        <v>7000</v>
      </c>
      <c r="D30" s="55">
        <v>19.399999999999999</v>
      </c>
      <c r="E30" s="55">
        <v>1.5</v>
      </c>
      <c r="F30" s="45">
        <f t="shared" si="1"/>
        <v>7.7319587628865982E-2</v>
      </c>
      <c r="G30" s="41">
        <v>1.2</v>
      </c>
      <c r="H30" s="42">
        <v>1.4215</v>
      </c>
      <c r="I30" s="42">
        <v>0.22589999999999999</v>
      </c>
      <c r="J30" s="41">
        <v>3.5999999999999999E-3</v>
      </c>
      <c r="K30" s="45">
        <f t="shared" si="2"/>
        <v>1.5936254980079681E-2</v>
      </c>
      <c r="L30" s="41">
        <f t="shared" si="3"/>
        <v>85.87870739265162</v>
      </c>
      <c r="N30" s="43">
        <f t="shared" si="0"/>
        <v>1.4285714285714287E-5</v>
      </c>
      <c r="O30" s="43">
        <v>1500000</v>
      </c>
      <c r="P30" s="43">
        <v>1000</v>
      </c>
      <c r="Q30" s="43">
        <v>5500000</v>
      </c>
      <c r="R30" s="43">
        <v>1.0999999999999999E-9</v>
      </c>
      <c r="S30" s="43">
        <v>4.9E-9</v>
      </c>
      <c r="T30" s="43">
        <f t="shared" si="12"/>
        <v>16975366.105733454</v>
      </c>
      <c r="U30" s="44">
        <f t="shared" si="13"/>
        <v>0.81543573214790099</v>
      </c>
      <c r="V30" s="43">
        <f t="shared" si="14"/>
        <v>7.26535167535958E-6</v>
      </c>
      <c r="W30" s="43">
        <f t="shared" si="15"/>
        <v>0.5085746172751705</v>
      </c>
      <c r="X30" s="48">
        <f t="shared" si="16"/>
        <v>1.4022409944115544</v>
      </c>
      <c r="Y30" s="46">
        <f t="shared" si="17"/>
        <v>0.83772233983162048</v>
      </c>
    </row>
    <row r="31" spans="1:25" s="41" customFormat="1" x14ac:dyDescent="0.25">
      <c r="A31" s="41">
        <v>5.8</v>
      </c>
      <c r="B31" s="41">
        <v>15</v>
      </c>
      <c r="C31" s="43">
        <v>7000</v>
      </c>
      <c r="D31" s="55">
        <v>17</v>
      </c>
      <c r="E31" s="55">
        <v>1.2</v>
      </c>
      <c r="F31" s="45">
        <f t="shared" si="1"/>
        <v>7.0588235294117646E-2</v>
      </c>
      <c r="G31" s="41">
        <v>1.8</v>
      </c>
      <c r="H31" s="42">
        <v>1.4124000000000001</v>
      </c>
      <c r="I31" s="42">
        <v>0.14499999999999999</v>
      </c>
      <c r="J31" s="41">
        <v>2.8E-3</v>
      </c>
      <c r="K31" s="45">
        <f t="shared" si="2"/>
        <v>1.9310344827586208E-2</v>
      </c>
      <c r="L31" s="41">
        <f t="shared" si="3"/>
        <v>117.24137931034484</v>
      </c>
      <c r="N31" s="43">
        <f t="shared" si="0"/>
        <v>2.1428571428571428E-5</v>
      </c>
      <c r="O31" s="43">
        <v>1500000</v>
      </c>
      <c r="P31" s="43">
        <v>1000</v>
      </c>
      <c r="Q31" s="43">
        <v>5500000</v>
      </c>
      <c r="R31" s="43">
        <v>1.0999999999999999E-9</v>
      </c>
      <c r="S31" s="43">
        <v>4.9E-9</v>
      </c>
      <c r="T31" s="43">
        <f t="shared" si="12"/>
        <v>20890297.976717778</v>
      </c>
      <c r="U31" s="44">
        <f t="shared" si="13"/>
        <v>0.78214377869813323</v>
      </c>
      <c r="V31" s="43">
        <f t="shared" si="14"/>
        <v>3.3899341916763837E-6</v>
      </c>
      <c r="W31" s="43">
        <f t="shared" si="15"/>
        <v>0.15819692894489792</v>
      </c>
      <c r="X31" s="48">
        <f t="shared" si="16"/>
        <v>2.5142066793893068</v>
      </c>
      <c r="Y31" s="46">
        <f t="shared" si="17"/>
        <v>0.79848724537600546</v>
      </c>
    </row>
    <row r="32" spans="1:25" s="41" customFormat="1" x14ac:dyDescent="0.25">
      <c r="A32" s="41">
        <v>5.6</v>
      </c>
      <c r="B32" s="41">
        <v>20</v>
      </c>
      <c r="C32" s="43">
        <v>7000</v>
      </c>
      <c r="D32" s="55">
        <v>14.7</v>
      </c>
      <c r="E32" s="55">
        <v>0.9</v>
      </c>
      <c r="F32" s="45">
        <f t="shared" si="1"/>
        <v>6.1224489795918373E-2</v>
      </c>
      <c r="G32" s="41">
        <v>2.2999999999999998</v>
      </c>
      <c r="H32" s="42">
        <v>1.421</v>
      </c>
      <c r="I32" s="42">
        <v>0.1341</v>
      </c>
      <c r="J32" s="41">
        <v>2.0999999999999999E-3</v>
      </c>
      <c r="K32" s="45">
        <f t="shared" si="2"/>
        <v>1.5659955257270694E-2</v>
      </c>
      <c r="L32" s="41">
        <f t="shared" si="3"/>
        <v>109.61968680089485</v>
      </c>
      <c r="N32" s="43">
        <f t="shared" si="0"/>
        <v>2.8571428571428574E-5</v>
      </c>
      <c r="O32" s="43">
        <v>1500000</v>
      </c>
      <c r="P32" s="43">
        <v>1000</v>
      </c>
      <c r="Q32" s="43">
        <v>5500000</v>
      </c>
      <c r="R32" s="43">
        <v>1.0999999999999999E-9</v>
      </c>
      <c r="S32" s="43">
        <v>4.9E-9</v>
      </c>
      <c r="T32" s="43">
        <f t="shared" si="12"/>
        <v>19974872.354172803</v>
      </c>
      <c r="U32" s="44">
        <f t="shared" si="13"/>
        <v>0.78968255645889063</v>
      </c>
      <c r="V32" s="43">
        <f t="shared" si="14"/>
        <v>4.0100318736733502E-6</v>
      </c>
      <c r="W32" s="43">
        <f t="shared" si="15"/>
        <v>0.14035111557856725</v>
      </c>
      <c r="X32" s="48">
        <f t="shared" si="16"/>
        <v>2.669267296137154</v>
      </c>
      <c r="Y32" s="46">
        <f t="shared" si="17"/>
        <v>0.76393202250021019</v>
      </c>
    </row>
    <row r="33" spans="1:25" s="41" customFormat="1" x14ac:dyDescent="0.25">
      <c r="A33" s="41">
        <v>8.5</v>
      </c>
      <c r="B33" s="41">
        <v>10</v>
      </c>
      <c r="C33" s="43">
        <v>9000</v>
      </c>
      <c r="D33" s="55">
        <v>24.9</v>
      </c>
      <c r="E33" s="55">
        <v>2.4</v>
      </c>
      <c r="F33" s="45">
        <f t="shared" si="1"/>
        <v>9.6385542168674704E-2</v>
      </c>
      <c r="G33" s="41">
        <v>2.2999999999999998</v>
      </c>
      <c r="H33" s="42">
        <v>1.4395</v>
      </c>
      <c r="I33" s="42">
        <v>0.48770000000000002</v>
      </c>
      <c r="J33" s="41">
        <v>1.43E-2</v>
      </c>
      <c r="K33" s="45">
        <f t="shared" si="2"/>
        <v>2.9321304080377281E-2</v>
      </c>
      <c r="L33" s="41">
        <f t="shared" si="3"/>
        <v>51.055977035062533</v>
      </c>
      <c r="N33" s="43">
        <f t="shared" si="0"/>
        <v>1.1111111111111112E-5</v>
      </c>
      <c r="O33" s="43">
        <v>1500000</v>
      </c>
      <c r="P33" s="43">
        <v>1000</v>
      </c>
      <c r="Q33" s="43">
        <v>5500000</v>
      </c>
      <c r="R33" s="43">
        <v>1.0999999999999999E-9</v>
      </c>
      <c r="S33" s="43">
        <v>4.9E-9</v>
      </c>
      <c r="T33" s="43">
        <f t="shared" si="12"/>
        <v>12002465.836542318</v>
      </c>
      <c r="U33" s="44">
        <f t="shared" si="13"/>
        <v>0.86204453263322223</v>
      </c>
      <c r="V33" s="43">
        <f t="shared" si="14"/>
        <v>2.4230185525917278E-5</v>
      </c>
      <c r="W33" s="43">
        <f t="shared" si="15"/>
        <v>2.1807166973325547</v>
      </c>
      <c r="X33" s="48">
        <f t="shared" si="16"/>
        <v>0.67717415665540992</v>
      </c>
      <c r="Y33" s="46">
        <f t="shared" si="17"/>
        <v>0.83772233983162048</v>
      </c>
    </row>
    <row r="34" spans="1:25" s="41" customFormat="1" x14ac:dyDescent="0.25">
      <c r="A34" s="41">
        <v>10.5</v>
      </c>
      <c r="B34" s="41">
        <v>10</v>
      </c>
      <c r="C34" s="43">
        <v>9000</v>
      </c>
      <c r="D34" s="55">
        <v>31.2</v>
      </c>
      <c r="E34" s="55">
        <v>3.5</v>
      </c>
      <c r="F34" s="45">
        <f t="shared" si="1"/>
        <v>0.11217948717948718</v>
      </c>
      <c r="G34" s="41">
        <v>3.1</v>
      </c>
      <c r="H34" s="42">
        <v>1.4240999999999999</v>
      </c>
      <c r="I34" s="42">
        <v>0.29470000000000002</v>
      </c>
      <c r="J34" s="41">
        <v>5.8999999999999999E-3</v>
      </c>
      <c r="K34" s="45">
        <f t="shared" si="2"/>
        <v>2.002035968781812E-2</v>
      </c>
      <c r="L34" s="41">
        <f t="shared" si="3"/>
        <v>105.87037665422463</v>
      </c>
      <c r="N34" s="43">
        <f t="shared" si="0"/>
        <v>1.1111111111111112E-5</v>
      </c>
      <c r="O34" s="43">
        <v>1500000</v>
      </c>
      <c r="P34" s="43">
        <v>1000</v>
      </c>
      <c r="Q34" s="43">
        <v>5500000</v>
      </c>
      <c r="R34" s="43">
        <v>1.0999999999999999E-9</v>
      </c>
      <c r="S34" s="43">
        <v>4.9E-9</v>
      </c>
      <c r="T34" s="43">
        <f t="shared" si="12"/>
        <v>19516793.059241388</v>
      </c>
      <c r="U34" s="44">
        <f t="shared" si="13"/>
        <v>0.7935097835258903</v>
      </c>
      <c r="V34" s="43">
        <f t="shared" si="14"/>
        <v>4.3709618460182773E-6</v>
      </c>
      <c r="W34" s="43">
        <f t="shared" si="15"/>
        <v>0.39338656614164497</v>
      </c>
      <c r="X34" s="48">
        <f t="shared" si="16"/>
        <v>1.5943741245861038</v>
      </c>
      <c r="Y34" s="46">
        <f t="shared" si="17"/>
        <v>0.83772233983162048</v>
      </c>
    </row>
    <row r="35" spans="1:25" s="41" customFormat="1" x14ac:dyDescent="0.25">
      <c r="A35" s="41">
        <v>8.4</v>
      </c>
      <c r="B35" s="41">
        <v>12.5</v>
      </c>
      <c r="C35" s="43">
        <v>9000</v>
      </c>
      <c r="D35" s="55">
        <v>22.7</v>
      </c>
      <c r="E35" s="55">
        <v>2</v>
      </c>
      <c r="F35" s="45">
        <f t="shared" si="1"/>
        <v>8.8105726872246701E-2</v>
      </c>
      <c r="G35" s="41">
        <v>2.7</v>
      </c>
      <c r="H35" s="42">
        <v>1.4267000000000001</v>
      </c>
      <c r="I35" s="42">
        <v>0.29570000000000002</v>
      </c>
      <c r="J35" s="41">
        <v>6.6E-3</v>
      </c>
      <c r="K35" s="45">
        <f t="shared" si="2"/>
        <v>2.2319918836658775E-2</v>
      </c>
      <c r="L35" s="41">
        <f t="shared" si="3"/>
        <v>76.766993574568815</v>
      </c>
      <c r="N35" s="43">
        <f t="shared" si="0"/>
        <v>1.388888888888889E-5</v>
      </c>
      <c r="O35" s="43">
        <v>1500000</v>
      </c>
      <c r="P35" s="43">
        <v>1000</v>
      </c>
      <c r="Q35" s="43">
        <v>5500000</v>
      </c>
      <c r="R35" s="43">
        <v>1.0999999999999999E-9</v>
      </c>
      <c r="S35" s="43">
        <v>4.9E-9</v>
      </c>
      <c r="T35" s="43">
        <f t="shared" si="12"/>
        <v>15752415.4848805</v>
      </c>
      <c r="U35" s="44">
        <f t="shared" si="13"/>
        <v>0.82642428412822933</v>
      </c>
      <c r="V35" s="43">
        <f t="shared" si="14"/>
        <v>9.4797100485834304E-6</v>
      </c>
      <c r="W35" s="43">
        <f t="shared" si="15"/>
        <v>0.68253912349800694</v>
      </c>
      <c r="X35" s="48">
        <f t="shared" si="16"/>
        <v>1.2104203728830916</v>
      </c>
      <c r="Y35" s="46">
        <f t="shared" si="17"/>
        <v>0.81732418631840043</v>
      </c>
    </row>
    <row r="36" spans="1:25" s="41" customFormat="1" x14ac:dyDescent="0.25">
      <c r="A36" s="41">
        <v>7.1</v>
      </c>
      <c r="B36" s="41">
        <v>15</v>
      </c>
      <c r="C36" s="43">
        <v>9000</v>
      </c>
      <c r="D36" s="55">
        <v>18</v>
      </c>
      <c r="E36" s="55">
        <v>1.3</v>
      </c>
      <c r="F36" s="45">
        <f t="shared" si="1"/>
        <v>7.2222222222222229E-2</v>
      </c>
      <c r="G36" s="41">
        <v>2.6</v>
      </c>
      <c r="H36" s="42">
        <v>1.385</v>
      </c>
      <c r="I36" s="42">
        <v>0.25280000000000002</v>
      </c>
      <c r="J36" s="41">
        <v>9.9000000000000008E-3</v>
      </c>
      <c r="K36" s="45">
        <f t="shared" si="2"/>
        <v>3.9161392405063292E-2</v>
      </c>
      <c r="L36" s="41">
        <f t="shared" si="3"/>
        <v>71.202531645569607</v>
      </c>
      <c r="N36" s="43">
        <f t="shared" si="0"/>
        <v>1.6666666666666667E-5</v>
      </c>
      <c r="O36" s="43">
        <v>1500000</v>
      </c>
      <c r="P36" s="43">
        <v>1000</v>
      </c>
      <c r="Q36" s="43">
        <v>5500000</v>
      </c>
      <c r="R36" s="43">
        <v>1.0999999999999999E-9</v>
      </c>
      <c r="S36" s="43">
        <v>4.9E-9</v>
      </c>
      <c r="T36" s="43">
        <f t="shared" si="12"/>
        <v>14981748.826920506</v>
      </c>
      <c r="U36" s="44">
        <f t="shared" si="13"/>
        <v>0.83350235995370758</v>
      </c>
      <c r="V36" s="43">
        <f t="shared" si="14"/>
        <v>1.1307813145236304E-5</v>
      </c>
      <c r="W36" s="43">
        <f t="shared" si="15"/>
        <v>0.67846878871417815</v>
      </c>
      <c r="X36" s="48">
        <f t="shared" si="16"/>
        <v>1.2140457783216259</v>
      </c>
      <c r="Y36" s="46">
        <f t="shared" si="17"/>
        <v>0.79848724537600546</v>
      </c>
    </row>
    <row r="37" spans="1:25" s="41" customFormat="1" x14ac:dyDescent="0.25">
      <c r="A37" s="41">
        <v>9</v>
      </c>
      <c r="B37" s="41">
        <v>15</v>
      </c>
      <c r="C37" s="43">
        <v>9000</v>
      </c>
      <c r="D37" s="55">
        <v>23.1</v>
      </c>
      <c r="E37" s="55">
        <v>1.9</v>
      </c>
      <c r="F37" s="45">
        <f t="shared" si="1"/>
        <v>8.2251082251082241E-2</v>
      </c>
      <c r="G37" s="41">
        <v>3.4</v>
      </c>
      <c r="H37" s="42">
        <v>1.4124000000000001</v>
      </c>
      <c r="I37" s="42">
        <v>0.31519999999999998</v>
      </c>
      <c r="J37" s="41">
        <v>1.17E-2</v>
      </c>
      <c r="K37" s="45">
        <f t="shared" si="2"/>
        <v>3.7119289340101523E-2</v>
      </c>
      <c r="L37" s="41">
        <f t="shared" si="3"/>
        <v>73.286802030456869</v>
      </c>
      <c r="N37" s="43">
        <f t="shared" si="0"/>
        <v>1.6666666666666667E-5</v>
      </c>
      <c r="O37" s="43">
        <v>1500000</v>
      </c>
      <c r="P37" s="43">
        <v>1000</v>
      </c>
      <c r="Q37" s="43">
        <v>5500000</v>
      </c>
      <c r="R37" s="43">
        <v>1.0999999999999999E-9</v>
      </c>
      <c r="S37" s="43">
        <v>4.9E-9</v>
      </c>
      <c r="T37" s="43">
        <f t="shared" si="12"/>
        <v>15272689.29140757</v>
      </c>
      <c r="U37" s="44">
        <f t="shared" si="13"/>
        <v>0.83081605952708371</v>
      </c>
      <c r="V37" s="43">
        <f t="shared" si="14"/>
        <v>1.0570540634208412E-5</v>
      </c>
      <c r="W37" s="43">
        <f t="shared" si="15"/>
        <v>0.63423243805250473</v>
      </c>
      <c r="X37" s="48">
        <f t="shared" si="16"/>
        <v>1.255670741384852</v>
      </c>
      <c r="Y37" s="46">
        <f t="shared" si="17"/>
        <v>0.79848724537600546</v>
      </c>
    </row>
    <row r="38" spans="1:25" s="41" customFormat="1" x14ac:dyDescent="0.25">
      <c r="A38" s="41">
        <v>9.3000000000000007</v>
      </c>
      <c r="B38" s="41">
        <v>20</v>
      </c>
      <c r="C38" s="43">
        <v>9000</v>
      </c>
      <c r="D38" s="55">
        <v>21</v>
      </c>
      <c r="E38" s="55">
        <v>1.5</v>
      </c>
      <c r="F38" s="45">
        <f t="shared" si="1"/>
        <v>7.1428571428571425E-2</v>
      </c>
      <c r="G38" s="41">
        <v>4.2</v>
      </c>
      <c r="H38" s="42">
        <v>1.4215</v>
      </c>
      <c r="I38" s="42">
        <v>0.29299999999999998</v>
      </c>
      <c r="J38" s="41">
        <v>6.7999999999999996E-3</v>
      </c>
      <c r="K38" s="45">
        <f t="shared" si="2"/>
        <v>2.3208191126279865E-2</v>
      </c>
      <c r="L38" s="41">
        <f t="shared" si="3"/>
        <v>71.672354948805463</v>
      </c>
      <c r="N38" s="43">
        <f t="shared" si="0"/>
        <v>2.2222222222222223E-5</v>
      </c>
      <c r="O38" s="43">
        <v>1500000</v>
      </c>
      <c r="P38" s="43">
        <v>1000</v>
      </c>
      <c r="Q38" s="43">
        <v>5500000</v>
      </c>
      <c r="R38" s="43">
        <v>1.0999999999999999E-9</v>
      </c>
      <c r="S38" s="43">
        <v>4.9E-9</v>
      </c>
      <c r="T38" s="43">
        <f t="shared" si="12"/>
        <v>15047575.954894679</v>
      </c>
      <c r="U38" s="44">
        <f t="shared" si="13"/>
        <v>0.83289304797685959</v>
      </c>
      <c r="V38" s="43">
        <f t="shared" si="14"/>
        <v>1.1135583205720888E-5</v>
      </c>
      <c r="W38" s="43">
        <f t="shared" si="15"/>
        <v>0.50110124425743996</v>
      </c>
      <c r="X38" s="48">
        <f t="shared" si="16"/>
        <v>1.4126587357037681</v>
      </c>
      <c r="Y38" s="46">
        <f t="shared" si="17"/>
        <v>0.76393202250021019</v>
      </c>
    </row>
    <row r="39" spans="1:25" s="41" customFormat="1" x14ac:dyDescent="0.25">
      <c r="A39" s="41">
        <v>9.3000000000000007</v>
      </c>
      <c r="B39" s="41">
        <v>20</v>
      </c>
      <c r="C39" s="43">
        <v>9000</v>
      </c>
      <c r="D39" s="55">
        <v>21</v>
      </c>
      <c r="E39" s="55">
        <v>1.5</v>
      </c>
      <c r="F39" s="45">
        <f t="shared" si="1"/>
        <v>7.1428571428571425E-2</v>
      </c>
      <c r="G39" s="41">
        <v>4.2</v>
      </c>
      <c r="H39" s="42">
        <v>1.4331</v>
      </c>
      <c r="I39" s="42">
        <v>0.1852</v>
      </c>
      <c r="J39" s="41">
        <v>2.8E-3</v>
      </c>
      <c r="K39" s="45">
        <f t="shared" si="2"/>
        <v>1.5118790496760258E-2</v>
      </c>
      <c r="L39" s="41">
        <f t="shared" si="3"/>
        <v>113.39092872570194</v>
      </c>
      <c r="N39" s="43">
        <f t="shared" si="0"/>
        <v>2.2222222222222223E-5</v>
      </c>
      <c r="O39" s="43">
        <v>1500000</v>
      </c>
      <c r="P39" s="43">
        <v>1000</v>
      </c>
      <c r="Q39" s="43">
        <v>5500000</v>
      </c>
      <c r="R39" s="43">
        <v>1.0999999999999999E-9</v>
      </c>
      <c r="S39" s="43">
        <v>4.9E-9</v>
      </c>
      <c r="T39" s="43">
        <f t="shared" si="12"/>
        <v>20430391.938320633</v>
      </c>
      <c r="U39" s="44">
        <f t="shared" si="13"/>
        <v>0.78591315069181134</v>
      </c>
      <c r="V39" s="43">
        <f t="shared" si="14"/>
        <v>3.6859366379002994E-6</v>
      </c>
      <c r="W39" s="43">
        <f t="shared" si="15"/>
        <v>0.16586714870551347</v>
      </c>
      <c r="X39" s="48">
        <f t="shared" si="16"/>
        <v>2.4553861988707664</v>
      </c>
      <c r="Y39" s="46">
        <f t="shared" si="17"/>
        <v>0.76393202250021019</v>
      </c>
    </row>
    <row r="40" spans="1:25" s="41" customFormat="1" x14ac:dyDescent="0.25">
      <c r="A40" s="41">
        <v>11</v>
      </c>
      <c r="B40" s="41">
        <v>20</v>
      </c>
      <c r="C40" s="43">
        <v>9000</v>
      </c>
      <c r="D40" s="55">
        <v>25.1</v>
      </c>
      <c r="E40" s="55">
        <v>2</v>
      </c>
      <c r="F40" s="45">
        <f t="shared" si="1"/>
        <v>7.9681274900398405E-2</v>
      </c>
      <c r="G40" s="41">
        <v>5</v>
      </c>
      <c r="H40" s="42">
        <v>1.4097999999999999</v>
      </c>
      <c r="I40" s="42">
        <v>0.37380000000000002</v>
      </c>
      <c r="J40" s="41">
        <v>1.5900000000000001E-2</v>
      </c>
      <c r="K40" s="45">
        <f t="shared" si="2"/>
        <v>4.2536115569823438E-2</v>
      </c>
      <c r="L40" s="41">
        <f t="shared" si="3"/>
        <v>67.148207597645793</v>
      </c>
      <c r="N40" s="43">
        <f t="shared" si="0"/>
        <v>2.2222222222222223E-5</v>
      </c>
      <c r="O40" s="43">
        <v>1500000</v>
      </c>
      <c r="P40" s="43">
        <v>1000</v>
      </c>
      <c r="Q40" s="43">
        <v>5500000</v>
      </c>
      <c r="R40" s="43">
        <v>1.0999999999999999E-9</v>
      </c>
      <c r="S40" s="43">
        <v>4.9E-9</v>
      </c>
      <c r="T40" s="43">
        <f t="shared" si="12"/>
        <v>14407534.220117122</v>
      </c>
      <c r="U40" s="44">
        <f t="shared" si="13"/>
        <v>0.83885547962158924</v>
      </c>
      <c r="V40" s="43">
        <f t="shared" si="14"/>
        <v>1.2958992086299834E-5</v>
      </c>
      <c r="W40" s="43">
        <f t="shared" si="15"/>
        <v>0.58315464388349247</v>
      </c>
      <c r="X40" s="48">
        <f t="shared" si="16"/>
        <v>1.3095079241355885</v>
      </c>
      <c r="Y40" s="46">
        <f t="shared" si="17"/>
        <v>0.76393202250021019</v>
      </c>
    </row>
    <row r="41" spans="1:25" s="32" customFormat="1" x14ac:dyDescent="0.25">
      <c r="A41" s="32">
        <v>5</v>
      </c>
      <c r="B41" s="32">
        <v>2.5</v>
      </c>
      <c r="C41" s="34">
        <v>7000</v>
      </c>
      <c r="D41" s="33">
        <v>22.7</v>
      </c>
      <c r="E41" s="33">
        <v>3.5</v>
      </c>
      <c r="F41" s="32">
        <f t="shared" si="1"/>
        <v>0.15418502202643172</v>
      </c>
      <c r="H41" s="32">
        <v>1.5235000000000001</v>
      </c>
      <c r="I41" s="32">
        <v>0.59609999999999996</v>
      </c>
      <c r="J41" s="36">
        <v>1.7500000000000002E-2</v>
      </c>
      <c r="K41" s="35">
        <f t="shared" si="2"/>
        <v>2.9357490353967459E-2</v>
      </c>
      <c r="L41" s="32">
        <f t="shared" si="3"/>
        <v>38.080858916289216</v>
      </c>
      <c r="N41" s="34">
        <f t="shared" si="0"/>
        <v>3.5714285714285718E-6</v>
      </c>
      <c r="O41" s="34">
        <v>1500000</v>
      </c>
      <c r="P41" s="34">
        <v>1000</v>
      </c>
      <c r="Q41" s="34">
        <v>5500000</v>
      </c>
      <c r="R41" s="34">
        <v>1.0999999999999999E-9</v>
      </c>
      <c r="S41" s="34">
        <v>4.9E-9</v>
      </c>
      <c r="T41" s="34">
        <f t="shared" si="12"/>
        <v>9871543.2492113467</v>
      </c>
      <c r="U41" s="37">
        <f t="shared" si="13"/>
        <v>0.88368842050833007</v>
      </c>
      <c r="V41" s="34">
        <f t="shared" si="14"/>
        <v>4.6551204773737824E-5</v>
      </c>
      <c r="W41" s="34">
        <f t="shared" si="15"/>
        <v>13.034337336646589</v>
      </c>
      <c r="X41" s="38">
        <f t="shared" si="16"/>
        <v>0.27698453506896631</v>
      </c>
      <c r="Y41" s="39">
        <f t="shared" si="17"/>
        <v>0.92044267806163926</v>
      </c>
    </row>
    <row r="42" spans="1:25" s="59" customFormat="1" x14ac:dyDescent="0.25">
      <c r="A42" s="59">
        <v>6.6</v>
      </c>
      <c r="B42" s="59">
        <v>5</v>
      </c>
      <c r="C42" s="60">
        <v>7000</v>
      </c>
      <c r="D42" s="61">
        <v>27.6</v>
      </c>
      <c r="E42" s="61">
        <v>3.2</v>
      </c>
      <c r="F42" s="59">
        <f t="shared" si="1"/>
        <v>0.11594202898550725</v>
      </c>
      <c r="H42" s="59">
        <v>1.5141</v>
      </c>
      <c r="I42" s="59">
        <v>0.65590000000000004</v>
      </c>
      <c r="J42" s="62">
        <v>3.9899999999999998E-2</v>
      </c>
      <c r="K42" s="63">
        <f t="shared" si="2"/>
        <v>6.0832443970117389E-2</v>
      </c>
      <c r="L42" s="59">
        <f t="shared" si="3"/>
        <v>42.079585302637597</v>
      </c>
      <c r="N42" s="60">
        <f t="shared" si="0"/>
        <v>7.1428571428571436E-6</v>
      </c>
      <c r="O42" s="60">
        <v>1500000</v>
      </c>
      <c r="P42" s="60">
        <v>1000</v>
      </c>
      <c r="Q42" s="60">
        <v>5500000</v>
      </c>
      <c r="R42" s="60">
        <v>1.0999999999999999E-9</v>
      </c>
      <c r="S42" s="60">
        <v>4.9E-9</v>
      </c>
      <c r="T42" s="60">
        <f t="shared" si="12"/>
        <v>10550961.294549735</v>
      </c>
      <c r="U42" s="64">
        <f t="shared" si="13"/>
        <v>0.876670453085582</v>
      </c>
      <c r="V42" s="60">
        <f t="shared" si="14"/>
        <v>3.7332992810733785E-5</v>
      </c>
      <c r="W42" s="60">
        <f t="shared" si="15"/>
        <v>5.2266189935027292</v>
      </c>
      <c r="X42" s="65">
        <f t="shared" si="16"/>
        <v>0.4374108774875593</v>
      </c>
      <c r="Y42" s="66">
        <f t="shared" si="17"/>
        <v>0.88676298854109437</v>
      </c>
    </row>
    <row r="43" spans="1:25" s="59" customFormat="1" x14ac:dyDescent="0.25">
      <c r="A43" s="59">
        <v>6.6</v>
      </c>
      <c r="B43" s="59">
        <v>7.5</v>
      </c>
      <c r="C43" s="60">
        <v>7000</v>
      </c>
      <c r="D43" s="61">
        <v>25.1</v>
      </c>
      <c r="E43" s="61">
        <v>2.2999999999999998</v>
      </c>
      <c r="F43" s="59">
        <f t="shared" si="1"/>
        <v>9.1633466135458155E-2</v>
      </c>
      <c r="H43" s="59">
        <v>1.5259</v>
      </c>
      <c r="I43" s="59">
        <v>0.59409999999999996</v>
      </c>
      <c r="J43" s="62">
        <v>3.7600000000000001E-2</v>
      </c>
      <c r="K43" s="63">
        <f t="shared" si="2"/>
        <v>6.32890085844134E-2</v>
      </c>
      <c r="L43" s="59">
        <f t="shared" si="3"/>
        <v>42.248779666722783</v>
      </c>
      <c r="N43" s="60">
        <f t="shared" si="0"/>
        <v>1.0714285714285714E-5</v>
      </c>
      <c r="O43" s="60">
        <v>1500000</v>
      </c>
      <c r="P43" s="60">
        <v>1000</v>
      </c>
      <c r="Q43" s="60">
        <v>5500000</v>
      </c>
      <c r="R43" s="60">
        <v>1.0999999999999999E-9</v>
      </c>
      <c r="S43" s="60">
        <v>4.9E-9</v>
      </c>
      <c r="T43" s="60">
        <f t="shared" si="12"/>
        <v>10579222.028311763</v>
      </c>
      <c r="U43" s="64">
        <f t="shared" si="13"/>
        <v>0.87638095115176562</v>
      </c>
      <c r="V43" s="60">
        <f t="shared" si="14"/>
        <v>3.7002103473721103E-5</v>
      </c>
      <c r="W43" s="60">
        <f t="shared" si="15"/>
        <v>3.4535296575473029</v>
      </c>
      <c r="X43" s="65">
        <f t="shared" si="16"/>
        <v>0.53810670686238449</v>
      </c>
      <c r="Y43" s="66">
        <f t="shared" si="17"/>
        <v>0.86040086758313894</v>
      </c>
    </row>
    <row r="44" spans="1:25" s="59" customFormat="1" x14ac:dyDescent="0.25">
      <c r="A44" s="59">
        <v>6.9</v>
      </c>
      <c r="B44" s="59">
        <v>10</v>
      </c>
      <c r="C44" s="60">
        <v>7000</v>
      </c>
      <c r="D44" s="61">
        <v>24</v>
      </c>
      <c r="E44" s="61">
        <v>2</v>
      </c>
      <c r="F44" s="59">
        <f t="shared" si="1"/>
        <v>8.3333333333333329E-2</v>
      </c>
      <c r="H44" s="59">
        <v>1.5436000000000001</v>
      </c>
      <c r="I44" s="59">
        <v>0.33860000000000001</v>
      </c>
      <c r="J44" s="62">
        <v>1.52E-2</v>
      </c>
      <c r="K44" s="63">
        <f t="shared" si="2"/>
        <v>4.4890726520968691E-2</v>
      </c>
      <c r="L44" s="59">
        <f t="shared" si="3"/>
        <v>70.880094506792673</v>
      </c>
      <c r="N44" s="60">
        <f t="shared" si="0"/>
        <v>1.4285714285714287E-5</v>
      </c>
      <c r="O44" s="60">
        <v>1500000</v>
      </c>
      <c r="P44" s="60">
        <v>1000</v>
      </c>
      <c r="Q44" s="60">
        <v>5500000</v>
      </c>
      <c r="R44" s="60">
        <v>1.0999999999999999E-9</v>
      </c>
      <c r="S44" s="60">
        <v>4.9E-9</v>
      </c>
      <c r="T44" s="60">
        <f t="shared" si="12"/>
        <v>14936488.237628907</v>
      </c>
      <c r="U44" s="64">
        <f t="shared" si="13"/>
        <v>0.83392182049443686</v>
      </c>
      <c r="V44" s="60">
        <f t="shared" si="14"/>
        <v>1.1428143539780801E-5</v>
      </c>
      <c r="W44" s="60">
        <f t="shared" si="15"/>
        <v>0.79997004778465597</v>
      </c>
      <c r="X44" s="65">
        <f t="shared" si="16"/>
        <v>1.1180549190843703</v>
      </c>
      <c r="Y44" s="66">
        <f t="shared" si="17"/>
        <v>0.83772233983162048</v>
      </c>
    </row>
    <row r="45" spans="1:25" s="50" customFormat="1" x14ac:dyDescent="0.25">
      <c r="A45" s="50">
        <v>7</v>
      </c>
      <c r="B45" s="50">
        <v>2.5</v>
      </c>
      <c r="C45" s="51">
        <v>8000</v>
      </c>
      <c r="D45" s="56">
        <v>28.9</v>
      </c>
      <c r="E45" s="56">
        <v>6</v>
      </c>
      <c r="F45" s="50">
        <f t="shared" si="1"/>
        <v>0.20761245674740486</v>
      </c>
      <c r="H45" s="52">
        <v>1.538</v>
      </c>
      <c r="I45" s="50">
        <v>1.2339</v>
      </c>
      <c r="J45" s="52">
        <v>0.2102</v>
      </c>
      <c r="K45" s="53">
        <f t="shared" si="2"/>
        <v>0.17035416160142636</v>
      </c>
      <c r="L45" s="50">
        <f t="shared" si="3"/>
        <v>23.421671124078124</v>
      </c>
      <c r="N45" s="51">
        <f t="shared" si="0"/>
        <v>3.1250000000000001E-6</v>
      </c>
      <c r="O45" s="51">
        <v>1500000</v>
      </c>
      <c r="P45" s="51">
        <v>1000</v>
      </c>
      <c r="Q45" s="51">
        <v>5500000</v>
      </c>
      <c r="R45" s="51">
        <v>1.0999999999999999E-9</v>
      </c>
      <c r="S45" s="51">
        <v>4.9E-9</v>
      </c>
      <c r="T45" s="51">
        <f t="shared" si="12"/>
        <v>7139634.5769758699</v>
      </c>
      <c r="U45" s="58">
        <f t="shared" si="13"/>
        <v>0.91307929949109923</v>
      </c>
      <c r="V45" s="51">
        <f t="shared" si="14"/>
        <v>1.3359784471711204E-4</v>
      </c>
      <c r="W45" s="51">
        <f t="shared" si="15"/>
        <v>42.751310309475855</v>
      </c>
      <c r="X45" s="57">
        <f t="shared" si="16"/>
        <v>0.1529414787308627</v>
      </c>
      <c r="Y45" s="54">
        <f t="shared" si="17"/>
        <v>0.92044267806163926</v>
      </c>
    </row>
    <row r="46" spans="1:25" s="50" customFormat="1" x14ac:dyDescent="0.25">
      <c r="A46" s="50">
        <v>6.9</v>
      </c>
      <c r="B46" s="50">
        <v>5</v>
      </c>
      <c r="C46" s="51">
        <v>8000</v>
      </c>
      <c r="D46" s="56">
        <v>25.9</v>
      </c>
      <c r="E46" s="56">
        <v>3</v>
      </c>
      <c r="F46" s="50">
        <f t="shared" si="1"/>
        <v>0.11583011583011583</v>
      </c>
      <c r="H46" s="50">
        <v>1.5175000000000001</v>
      </c>
      <c r="I46" s="50">
        <v>1.3259000000000001</v>
      </c>
      <c r="J46" s="52">
        <v>0.39810000000000001</v>
      </c>
      <c r="K46" s="53">
        <f t="shared" si="2"/>
        <v>0.30024888754808055</v>
      </c>
      <c r="L46" s="50">
        <f t="shared" si="3"/>
        <v>19.533901500867334</v>
      </c>
      <c r="N46" s="51">
        <f t="shared" si="0"/>
        <v>6.2500000000000003E-6</v>
      </c>
      <c r="O46" s="51">
        <v>1500000</v>
      </c>
      <c r="P46" s="51">
        <v>1000</v>
      </c>
      <c r="Q46" s="51">
        <v>5500000</v>
      </c>
      <c r="R46" s="51">
        <v>1.0999999999999999E-9</v>
      </c>
      <c r="S46" s="51">
        <v>4.9E-9</v>
      </c>
      <c r="T46" s="51">
        <f t="shared" si="12"/>
        <v>6326029.5840737503</v>
      </c>
      <c r="U46" s="58">
        <f t="shared" si="13"/>
        <v>0.92221396253540222</v>
      </c>
      <c r="V46" s="51">
        <f t="shared" si="14"/>
        <v>1.9670216870365656E-4</v>
      </c>
      <c r="W46" s="51">
        <f t="shared" si="15"/>
        <v>31.472346992585049</v>
      </c>
      <c r="X46" s="57">
        <f t="shared" si="16"/>
        <v>0.17825241996975705</v>
      </c>
      <c r="Y46" s="54">
        <f t="shared" si="17"/>
        <v>0.88676298854109437</v>
      </c>
    </row>
    <row r="47" spans="1:25" s="59" customFormat="1" x14ac:dyDescent="0.25">
      <c r="A47" s="59">
        <v>7.1</v>
      </c>
      <c r="B47" s="59">
        <v>7.5</v>
      </c>
      <c r="C47" s="60">
        <v>8000</v>
      </c>
      <c r="D47" s="61">
        <v>24.3</v>
      </c>
      <c r="E47" s="61">
        <v>2.2999999999999998</v>
      </c>
      <c r="F47" s="59">
        <f t="shared" si="1"/>
        <v>9.4650205761316858E-2</v>
      </c>
      <c r="H47" s="59">
        <v>1.5347999999999999</v>
      </c>
      <c r="I47" s="59">
        <v>0.5665</v>
      </c>
      <c r="J47" s="62">
        <v>4.4999999999999998E-2</v>
      </c>
      <c r="K47" s="63">
        <f t="shared" si="2"/>
        <v>7.9435127978817299E-2</v>
      </c>
      <c r="L47" s="59">
        <f t="shared" si="3"/>
        <v>42.894969108561341</v>
      </c>
      <c r="N47" s="60">
        <f t="shared" si="0"/>
        <v>9.3749999999999992E-6</v>
      </c>
      <c r="O47" s="60">
        <v>1500000</v>
      </c>
      <c r="P47" s="60">
        <v>1000</v>
      </c>
      <c r="Q47" s="60">
        <v>5500000</v>
      </c>
      <c r="R47" s="60">
        <v>1.0999999999999999E-9</v>
      </c>
      <c r="S47" s="60">
        <v>4.9E-9</v>
      </c>
      <c r="T47" s="60">
        <f t="shared" si="12"/>
        <v>10686810.587912498</v>
      </c>
      <c r="U47" s="64">
        <f t="shared" si="13"/>
        <v>0.87528056518163777</v>
      </c>
      <c r="V47" s="60">
        <f t="shared" si="14"/>
        <v>3.577586947786353E-5</v>
      </c>
      <c r="W47" s="60">
        <f t="shared" si="15"/>
        <v>3.8160927443054433</v>
      </c>
      <c r="X47" s="65">
        <f t="shared" si="16"/>
        <v>0.5119063766969385</v>
      </c>
      <c r="Y47" s="66">
        <f t="shared" si="17"/>
        <v>0.86040086758313894</v>
      </c>
    </row>
    <row r="48" spans="1:25" s="59" customFormat="1" x14ac:dyDescent="0.25">
      <c r="A48" s="59">
        <v>7.5</v>
      </c>
      <c r="B48" s="59">
        <v>10</v>
      </c>
      <c r="C48" s="60">
        <v>8000</v>
      </c>
      <c r="D48" s="61">
        <v>23.9</v>
      </c>
      <c r="E48" s="61">
        <v>2</v>
      </c>
      <c r="F48" s="59">
        <f t="shared" si="1"/>
        <v>8.3682008368200847E-2</v>
      </c>
      <c r="H48" s="59">
        <v>1.5525</v>
      </c>
      <c r="I48" s="59">
        <v>0.40550000000000003</v>
      </c>
      <c r="J48" s="62">
        <v>2.4299999999999999E-2</v>
      </c>
      <c r="K48" s="63">
        <f t="shared" si="2"/>
        <v>5.9926017262638707E-2</v>
      </c>
      <c r="L48" s="59">
        <f t="shared" si="3"/>
        <v>58.939580764488277</v>
      </c>
      <c r="N48" s="60">
        <f t="shared" si="0"/>
        <v>1.2500000000000001E-5</v>
      </c>
      <c r="O48" s="60">
        <v>1500000</v>
      </c>
      <c r="P48" s="60">
        <v>1000</v>
      </c>
      <c r="Q48" s="60">
        <v>5500000</v>
      </c>
      <c r="R48" s="60">
        <v>1.0999999999999999E-9</v>
      </c>
      <c r="S48" s="60">
        <v>4.9E-9</v>
      </c>
      <c r="T48" s="60">
        <f t="shared" si="12"/>
        <v>13208114.017355325</v>
      </c>
      <c r="U48" s="64">
        <f t="shared" si="13"/>
        <v>0.85026191564693732</v>
      </c>
      <c r="V48" s="60">
        <f t="shared" si="14"/>
        <v>1.7492490137344331E-5</v>
      </c>
      <c r="W48" s="60">
        <f t="shared" ref="W48:W56" si="18">V48/N48</f>
        <v>1.3993992109875464</v>
      </c>
      <c r="X48" s="65">
        <f t="shared" ref="X48:X56" si="19">SQRT(1/W48)</f>
        <v>0.84533565575406344</v>
      </c>
      <c r="Y48" s="66">
        <f t="shared" si="17"/>
        <v>0.83772233983162048</v>
      </c>
    </row>
    <row r="49" spans="1:25" s="50" customFormat="1" x14ac:dyDescent="0.25">
      <c r="A49" s="50">
        <v>8.6999999999999993</v>
      </c>
      <c r="B49" s="50">
        <v>2.5</v>
      </c>
      <c r="C49" s="51">
        <v>9500</v>
      </c>
      <c r="D49" s="56">
        <v>30.7</v>
      </c>
      <c r="E49" s="56">
        <v>6.8</v>
      </c>
      <c r="F49" s="50">
        <f t="shared" si="1"/>
        <v>0.22149837133550487</v>
      </c>
      <c r="H49" s="52">
        <v>1.5669999999999999</v>
      </c>
      <c r="I49" s="50">
        <v>1.2883</v>
      </c>
      <c r="J49" s="52">
        <v>0.29709999999999998</v>
      </c>
      <c r="K49" s="53">
        <f t="shared" si="2"/>
        <v>0.23061398742528913</v>
      </c>
      <c r="L49" s="50">
        <f t="shared" si="3"/>
        <v>23.829853295039975</v>
      </c>
      <c r="N49" s="51">
        <f t="shared" si="0"/>
        <v>2.6315789473684215E-6</v>
      </c>
      <c r="O49" s="51">
        <v>1500000</v>
      </c>
      <c r="P49" s="51">
        <v>1000</v>
      </c>
      <c r="Q49" s="51">
        <v>5500000</v>
      </c>
      <c r="R49" s="51">
        <v>1.0999999999999999E-9</v>
      </c>
      <c r="S49" s="51">
        <v>4.9E-9</v>
      </c>
      <c r="T49" s="51">
        <f t="shared" si="12"/>
        <v>7222334.7583820568</v>
      </c>
      <c r="U49" s="58">
        <f t="shared" si="13"/>
        <v>0.91216091370300345</v>
      </c>
      <c r="V49" s="51">
        <f t="shared" si="14"/>
        <v>1.2874586593424904E-4</v>
      </c>
      <c r="W49" s="51">
        <f t="shared" si="18"/>
        <v>48.92342905501463</v>
      </c>
      <c r="X49" s="57">
        <f t="shared" si="19"/>
        <v>0.14296889329953771</v>
      </c>
      <c r="Y49" s="54">
        <f t="shared" si="17"/>
        <v>0.92044267806163926</v>
      </c>
    </row>
    <row r="50" spans="1:25" s="50" customFormat="1" x14ac:dyDescent="0.25">
      <c r="A50" s="50">
        <v>9</v>
      </c>
      <c r="B50" s="50">
        <v>5</v>
      </c>
      <c r="C50" s="51">
        <v>9500</v>
      </c>
      <c r="D50" s="56">
        <v>29.3</v>
      </c>
      <c r="E50" s="56">
        <v>4.2</v>
      </c>
      <c r="F50" s="50">
        <f t="shared" si="1"/>
        <v>0.14334470989761092</v>
      </c>
      <c r="H50" s="50">
        <v>1.5552999999999999</v>
      </c>
      <c r="I50" s="50">
        <v>2.1516999999999999</v>
      </c>
      <c r="J50" s="52">
        <v>5.5519999999999996</v>
      </c>
      <c r="K50" s="53">
        <f t="shared" si="2"/>
        <v>2.5802853557652088</v>
      </c>
      <c r="L50" s="50">
        <f t="shared" si="3"/>
        <v>13.617139935864666</v>
      </c>
      <c r="N50" s="51">
        <f t="shared" si="0"/>
        <v>5.2631578947368431E-6</v>
      </c>
      <c r="O50" s="51">
        <v>1500000</v>
      </c>
      <c r="P50" s="51">
        <v>1000</v>
      </c>
      <c r="Q50" s="51">
        <v>5500000</v>
      </c>
      <c r="R50" s="51">
        <v>1.0999999999999999E-9</v>
      </c>
      <c r="S50" s="51">
        <v>4.9E-9</v>
      </c>
      <c r="T50" s="51">
        <f t="shared" si="12"/>
        <v>4973718.0135982251</v>
      </c>
      <c r="U50" s="58">
        <f t="shared" si="13"/>
        <v>0.93780809324442649</v>
      </c>
      <c r="V50" s="51">
        <f t="shared" si="14"/>
        <v>4.2087502639119752E-4</v>
      </c>
      <c r="W50" s="51">
        <f t="shared" si="18"/>
        <v>79.966255014327515</v>
      </c>
      <c r="X50" s="57">
        <f t="shared" si="19"/>
        <v>0.11182698636295395</v>
      </c>
      <c r="Y50" s="54">
        <f t="shared" si="17"/>
        <v>0.88676298854109437</v>
      </c>
    </row>
    <row r="51" spans="1:25" s="59" customFormat="1" x14ac:dyDescent="0.25">
      <c r="A51" s="59">
        <v>9.4</v>
      </c>
      <c r="B51" s="59">
        <v>7.5</v>
      </c>
      <c r="C51" s="60">
        <v>9500</v>
      </c>
      <c r="D51" s="61">
        <v>28.5</v>
      </c>
      <c r="E51" s="61">
        <v>3.3</v>
      </c>
      <c r="F51" s="59">
        <f t="shared" si="1"/>
        <v>0.11578947368421053</v>
      </c>
      <c r="H51" s="59">
        <v>1.5846</v>
      </c>
      <c r="I51" s="59">
        <v>0.65690000000000004</v>
      </c>
      <c r="J51" s="62">
        <v>2.86E-2</v>
      </c>
      <c r="K51" s="63">
        <f t="shared" si="2"/>
        <v>4.3537829197746993E-2</v>
      </c>
      <c r="L51" s="59">
        <f t="shared" si="3"/>
        <v>43.385599025726897</v>
      </c>
      <c r="N51" s="60">
        <f t="shared" si="0"/>
        <v>7.8947368421052629E-6</v>
      </c>
      <c r="O51" s="60">
        <v>1500000</v>
      </c>
      <c r="P51" s="60">
        <v>1000</v>
      </c>
      <c r="Q51" s="60">
        <v>5500000</v>
      </c>
      <c r="R51" s="60">
        <v>1.0999999999999999E-9</v>
      </c>
      <c r="S51" s="60">
        <v>4.9E-9</v>
      </c>
      <c r="T51" s="60">
        <f t="shared" si="12"/>
        <v>10768138.453246672</v>
      </c>
      <c r="U51" s="64">
        <f t="shared" si="13"/>
        <v>0.87445059846884143</v>
      </c>
      <c r="V51" s="60">
        <f t="shared" si="14"/>
        <v>3.4882904766245298E-5</v>
      </c>
      <c r="W51" s="60">
        <f t="shared" si="18"/>
        <v>4.4185012703910713</v>
      </c>
      <c r="X51" s="65">
        <f t="shared" si="19"/>
        <v>0.47573215640780925</v>
      </c>
      <c r="Y51" s="66">
        <f t="shared" si="17"/>
        <v>0.86040086758313894</v>
      </c>
    </row>
    <row r="52" spans="1:25" s="59" customFormat="1" x14ac:dyDescent="0.25">
      <c r="A52" s="59">
        <v>8.5</v>
      </c>
      <c r="B52" s="59">
        <v>10</v>
      </c>
      <c r="C52" s="60">
        <v>9500</v>
      </c>
      <c r="D52" s="61">
        <v>22.2</v>
      </c>
      <c r="E52" s="61">
        <v>2</v>
      </c>
      <c r="F52" s="59">
        <f t="shared" si="1"/>
        <v>9.00900900900901E-2</v>
      </c>
      <c r="H52" s="59">
        <v>1.5525</v>
      </c>
      <c r="I52" s="59">
        <v>0.4093</v>
      </c>
      <c r="J52" s="62">
        <v>7.4999999999999997E-3</v>
      </c>
      <c r="K52" s="63">
        <f t="shared" si="2"/>
        <v>1.8323967749816761E-2</v>
      </c>
      <c r="L52" s="59">
        <f t="shared" si="3"/>
        <v>54.238944539457606</v>
      </c>
      <c r="N52" s="60">
        <f t="shared" si="0"/>
        <v>1.0526315789473686E-5</v>
      </c>
      <c r="O52" s="60">
        <v>1500000</v>
      </c>
      <c r="P52" s="60">
        <v>1000</v>
      </c>
      <c r="Q52" s="60">
        <v>5500000</v>
      </c>
      <c r="R52" s="60">
        <v>1.0999999999999999E-9</v>
      </c>
      <c r="S52" s="60">
        <v>4.9E-9</v>
      </c>
      <c r="T52" s="60">
        <f t="shared" si="12"/>
        <v>12496224.172761071</v>
      </c>
      <c r="U52" s="64">
        <f t="shared" si="13"/>
        <v>0.85717984643443235</v>
      </c>
      <c r="V52" s="60">
        <f t="shared" si="14"/>
        <v>2.1134543361679047E-5</v>
      </c>
      <c r="W52" s="60">
        <f t="shared" si="18"/>
        <v>2.0077816193595091</v>
      </c>
      <c r="X52" s="65">
        <f t="shared" si="19"/>
        <v>0.70573517343542524</v>
      </c>
      <c r="Y52" s="66">
        <f t="shared" si="17"/>
        <v>0.83772233983162048</v>
      </c>
    </row>
    <row r="53" spans="1:25" s="50" customFormat="1" x14ac:dyDescent="0.25">
      <c r="A53" s="50">
        <v>8.4</v>
      </c>
      <c r="B53" s="50">
        <v>2.5</v>
      </c>
      <c r="C53" s="51">
        <v>9000</v>
      </c>
      <c r="D53" s="56">
        <v>31.3</v>
      </c>
      <c r="E53" s="56">
        <v>6.6</v>
      </c>
      <c r="F53" s="50">
        <f t="shared" si="1"/>
        <v>0.2108626198083067</v>
      </c>
      <c r="H53" s="50">
        <v>1.5527</v>
      </c>
      <c r="I53" s="50">
        <v>3.0434000000000001</v>
      </c>
      <c r="J53" s="52">
        <v>2.0878000000000001</v>
      </c>
      <c r="K53" s="53">
        <f t="shared" si="2"/>
        <v>0.68600906880462642</v>
      </c>
      <c r="L53" s="50">
        <f t="shared" si="3"/>
        <v>10.284550174147336</v>
      </c>
      <c r="N53" s="51">
        <f t="shared" si="0"/>
        <v>2.7777777777777779E-6</v>
      </c>
      <c r="O53" s="51">
        <v>1500000</v>
      </c>
      <c r="P53" s="51">
        <v>1000</v>
      </c>
      <c r="Q53" s="51">
        <v>5500000</v>
      </c>
      <c r="R53" s="51">
        <v>1.0999999999999999E-9</v>
      </c>
      <c r="S53" s="51">
        <v>4.9E-9</v>
      </c>
      <c r="T53" s="51">
        <f t="shared" si="12"/>
        <v>4125077.0099114585</v>
      </c>
      <c r="U53" s="58">
        <f t="shared" si="13"/>
        <v>0.94786637604921709</v>
      </c>
      <c r="V53" s="51">
        <f t="shared" si="14"/>
        <v>7.5581832715584105E-4</v>
      </c>
      <c r="W53" s="51">
        <f t="shared" si="18"/>
        <v>272.09459777610277</v>
      </c>
      <c r="X53" s="57">
        <f t="shared" si="19"/>
        <v>6.0623365198438882E-2</v>
      </c>
      <c r="Y53" s="54">
        <f t="shared" si="17"/>
        <v>0.92044267806163926</v>
      </c>
    </row>
    <row r="54" spans="1:25" s="32" customFormat="1" x14ac:dyDescent="0.25">
      <c r="A54" s="32">
        <v>8.3000000000000007</v>
      </c>
      <c r="B54" s="32">
        <v>5</v>
      </c>
      <c r="C54" s="34">
        <v>9000</v>
      </c>
      <c r="D54" s="33">
        <v>28.2</v>
      </c>
      <c r="E54" s="33">
        <v>3.8</v>
      </c>
      <c r="F54" s="32">
        <f t="shared" si="1"/>
        <v>0.13475177304964539</v>
      </c>
      <c r="H54" s="32">
        <v>1.5407999999999999</v>
      </c>
      <c r="I54" s="32">
        <v>1.0051000000000001</v>
      </c>
      <c r="J54" s="32">
        <v>6.9900000000000004E-2</v>
      </c>
      <c r="K54" s="35">
        <f t="shared" si="2"/>
        <v>6.9545318873743905E-2</v>
      </c>
      <c r="L54" s="32">
        <f t="shared" si="3"/>
        <v>28.056909760222858</v>
      </c>
      <c r="N54" s="34">
        <f t="shared" si="0"/>
        <v>5.5555555555555558E-6</v>
      </c>
      <c r="O54" s="34">
        <v>1500000</v>
      </c>
      <c r="P54" s="34">
        <v>1000</v>
      </c>
      <c r="Q54" s="34">
        <v>5500000</v>
      </c>
      <c r="R54" s="34">
        <v>1.0999999999999999E-9</v>
      </c>
      <c r="S54" s="34">
        <v>4.9E-9</v>
      </c>
      <c r="T54" s="34">
        <f t="shared" si="12"/>
        <v>8052864.4621042861</v>
      </c>
      <c r="U54" s="37">
        <f t="shared" si="13"/>
        <v>0.903039292933976</v>
      </c>
      <c r="V54" s="34">
        <f t="shared" si="14"/>
        <v>9.0612299044435447E-5</v>
      </c>
      <c r="W54" s="34">
        <f t="shared" si="18"/>
        <v>16.310213827998378</v>
      </c>
      <c r="X54" s="38">
        <f t="shared" si="19"/>
        <v>0.24761113600562273</v>
      </c>
      <c r="Y54" s="39">
        <f t="shared" si="17"/>
        <v>0.88676298854109437</v>
      </c>
    </row>
    <row r="55" spans="1:25" s="59" customFormat="1" x14ac:dyDescent="0.25">
      <c r="A55" s="59">
        <v>7.8</v>
      </c>
      <c r="B55" s="59">
        <v>7.5</v>
      </c>
      <c r="C55" s="60">
        <v>9000</v>
      </c>
      <c r="D55" s="61">
        <v>24.4</v>
      </c>
      <c r="E55" s="61">
        <v>2.6</v>
      </c>
      <c r="F55" s="59">
        <f t="shared" si="1"/>
        <v>0.10655737704918034</v>
      </c>
      <c r="H55" s="59">
        <v>1.5290999999999999</v>
      </c>
      <c r="I55" s="59">
        <v>0.42749999999999999</v>
      </c>
      <c r="J55" s="59">
        <v>1.8700000000000001E-2</v>
      </c>
      <c r="K55" s="63">
        <f t="shared" si="2"/>
        <v>4.3742690058479534E-2</v>
      </c>
      <c r="L55" s="59">
        <f t="shared" si="3"/>
        <v>57.076023391812861</v>
      </c>
      <c r="N55" s="60">
        <f t="shared" si="0"/>
        <v>8.3333333333333337E-6</v>
      </c>
      <c r="O55" s="60">
        <v>1500000</v>
      </c>
      <c r="P55" s="60">
        <v>1000</v>
      </c>
      <c r="Q55" s="60">
        <v>5500000</v>
      </c>
      <c r="R55" s="60">
        <v>1.0999999999999999E-9</v>
      </c>
      <c r="S55" s="60">
        <v>4.9E-9</v>
      </c>
      <c r="T55" s="60">
        <f t="shared" si="12"/>
        <v>12928236.784085449</v>
      </c>
      <c r="U55" s="64">
        <f t="shared" si="13"/>
        <v>0.85296831533388151</v>
      </c>
      <c r="V55" s="60">
        <f t="shared" si="14"/>
        <v>1.8822771529626022E-5</v>
      </c>
      <c r="W55" s="60">
        <f t="shared" si="18"/>
        <v>2.2587325835551226</v>
      </c>
      <c r="X55" s="65">
        <f t="shared" si="19"/>
        <v>0.66537670427379281</v>
      </c>
      <c r="Y55" s="66">
        <f t="shared" si="17"/>
        <v>0.86040086758313894</v>
      </c>
    </row>
    <row r="56" spans="1:25" s="59" customFormat="1" x14ac:dyDescent="0.25">
      <c r="A56" s="59">
        <v>6.8</v>
      </c>
      <c r="B56" s="59">
        <v>10</v>
      </c>
      <c r="C56" s="60">
        <v>9000</v>
      </c>
      <c r="D56" s="59">
        <v>19.5</v>
      </c>
      <c r="E56" s="61">
        <v>1.6</v>
      </c>
      <c r="F56" s="59">
        <f t="shared" si="1"/>
        <v>8.2051282051282051E-2</v>
      </c>
      <c r="H56" s="59">
        <v>1.5465</v>
      </c>
      <c r="I56" s="62">
        <v>0.30499999999999999</v>
      </c>
      <c r="J56" s="59">
        <v>1.0699999999999999E-2</v>
      </c>
      <c r="K56" s="63">
        <f t="shared" si="2"/>
        <v>3.5081967213114754E-2</v>
      </c>
      <c r="L56" s="59">
        <f t="shared" si="3"/>
        <v>63.934426229508198</v>
      </c>
      <c r="N56" s="60">
        <f t="shared" si="0"/>
        <v>1.1111111111111112E-5</v>
      </c>
      <c r="O56" s="60">
        <v>1500000</v>
      </c>
      <c r="P56" s="60">
        <v>1000</v>
      </c>
      <c r="Q56" s="60">
        <v>5500000</v>
      </c>
      <c r="R56" s="60">
        <v>1.0999999999999999E-9</v>
      </c>
      <c r="S56" s="60">
        <v>4.9E-9</v>
      </c>
      <c r="T56" s="60">
        <f t="shared" si="12"/>
        <v>13944112.994046316</v>
      </c>
      <c r="U56" s="64">
        <f t="shared" si="13"/>
        <v>0.84322612790596163</v>
      </c>
      <c r="V56" s="60">
        <f t="shared" si="14"/>
        <v>1.4514041713202347E-5</v>
      </c>
      <c r="W56" s="60">
        <f t="shared" si="18"/>
        <v>1.3062637541882112</v>
      </c>
      <c r="X56" s="65">
        <f t="shared" si="19"/>
        <v>0.87495267211500194</v>
      </c>
      <c r="Y56" s="66">
        <f t="shared" si="17"/>
        <v>0.83772233983162048</v>
      </c>
    </row>
    <row r="57" spans="1:25" x14ac:dyDescent="0.25">
      <c r="K57" s="49"/>
    </row>
    <row r="58" spans="1:25" x14ac:dyDescent="0.25">
      <c r="K58" s="49"/>
    </row>
    <row r="59" spans="1:25" x14ac:dyDescent="0.25">
      <c r="K59" s="49"/>
    </row>
    <row r="60" spans="1:25" x14ac:dyDescent="0.25">
      <c r="K60" s="49"/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865C-8063-4BAE-92CF-948201BE080F}">
  <dimension ref="A1:K25"/>
  <sheetViews>
    <sheetView workbookViewId="0">
      <selection activeCell="G11" sqref="G11"/>
    </sheetView>
  </sheetViews>
  <sheetFormatPr defaultColWidth="8.85546875" defaultRowHeight="15" x14ac:dyDescent="0.25"/>
  <cols>
    <col min="1" max="1" width="16.7109375" customWidth="1"/>
    <col min="2" max="2" width="16.140625" customWidth="1"/>
    <col min="3" max="3" width="12.42578125" customWidth="1"/>
    <col min="4" max="4" width="14.7109375" customWidth="1"/>
  </cols>
  <sheetData>
    <row r="1" spans="1:1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11" x14ac:dyDescent="0.25">
      <c r="A2" t="s">
        <v>69</v>
      </c>
      <c r="B2" t="s">
        <v>51</v>
      </c>
      <c r="C2" t="s">
        <v>71</v>
      </c>
      <c r="D2" t="s">
        <v>71</v>
      </c>
      <c r="E2">
        <v>56.72</v>
      </c>
    </row>
    <row r="3" spans="1:11" x14ac:dyDescent="0.25">
      <c r="A3" t="s">
        <v>69</v>
      </c>
      <c r="B3" t="s">
        <v>52</v>
      </c>
      <c r="C3" t="s">
        <v>71</v>
      </c>
      <c r="D3" t="s">
        <v>71</v>
      </c>
      <c r="E3">
        <v>-10.29</v>
      </c>
    </row>
    <row r="4" spans="1:11" x14ac:dyDescent="0.25">
      <c r="A4" s="9" t="s">
        <v>70</v>
      </c>
      <c r="B4" s="9" t="s">
        <v>53</v>
      </c>
      <c r="C4" s="9" t="s">
        <v>71</v>
      </c>
      <c r="D4" s="9" t="s">
        <v>71</v>
      </c>
      <c r="E4" s="9">
        <v>14.57</v>
      </c>
    </row>
    <row r="5" spans="1:11" x14ac:dyDescent="0.25">
      <c r="A5" s="9" t="s">
        <v>70</v>
      </c>
      <c r="B5" s="9" t="s">
        <v>54</v>
      </c>
      <c r="C5" s="9" t="s">
        <v>71</v>
      </c>
      <c r="D5" s="9" t="s">
        <v>71</v>
      </c>
      <c r="E5" s="9">
        <v>-10.65</v>
      </c>
    </row>
    <row r="6" spans="1:11" x14ac:dyDescent="0.25">
      <c r="A6" s="9" t="s">
        <v>66</v>
      </c>
      <c r="B6" s="9" t="s">
        <v>55</v>
      </c>
      <c r="C6" s="9" t="s">
        <v>71</v>
      </c>
      <c r="D6" s="9" t="s">
        <v>71</v>
      </c>
      <c r="E6" s="9">
        <v>16.920000000000002</v>
      </c>
    </row>
    <row r="7" spans="1:11" x14ac:dyDescent="0.25">
      <c r="A7" s="9" t="s">
        <v>66</v>
      </c>
      <c r="B7" s="9" t="s">
        <v>56</v>
      </c>
      <c r="C7" s="9" t="s">
        <v>71</v>
      </c>
      <c r="D7" s="9" t="s">
        <v>71</v>
      </c>
      <c r="E7" s="9">
        <v>-5.07</v>
      </c>
      <c r="K7" s="9" t="s">
        <v>111</v>
      </c>
    </row>
    <row r="8" spans="1:11" x14ac:dyDescent="0.25">
      <c r="A8" t="s">
        <v>68</v>
      </c>
      <c r="B8" t="s">
        <v>57</v>
      </c>
      <c r="C8" t="s">
        <v>71</v>
      </c>
      <c r="D8" t="s">
        <v>71</v>
      </c>
      <c r="E8">
        <v>48.85</v>
      </c>
      <c r="K8" s="9" t="s">
        <v>112</v>
      </c>
    </row>
    <row r="9" spans="1:11" x14ac:dyDescent="0.25">
      <c r="A9" t="s">
        <v>68</v>
      </c>
      <c r="B9" t="s">
        <v>58</v>
      </c>
      <c r="C9" t="s">
        <v>71</v>
      </c>
      <c r="D9" t="s">
        <v>71</v>
      </c>
      <c r="E9">
        <v>-4.88</v>
      </c>
    </row>
    <row r="10" spans="1:11" x14ac:dyDescent="0.25">
      <c r="A10" s="9" t="s">
        <v>67</v>
      </c>
      <c r="B10" s="9" t="s">
        <v>59</v>
      </c>
      <c r="C10" s="9" t="s">
        <v>71</v>
      </c>
      <c r="D10" s="9" t="s">
        <v>71</v>
      </c>
      <c r="E10" s="9">
        <v>12.8</v>
      </c>
    </row>
    <row r="11" spans="1:11" x14ac:dyDescent="0.25">
      <c r="A11" s="9" t="s">
        <v>67</v>
      </c>
      <c r="B11" s="9" t="s">
        <v>60</v>
      </c>
      <c r="C11" s="9" t="s">
        <v>71</v>
      </c>
      <c r="D11" s="9" t="s">
        <v>71</v>
      </c>
      <c r="E11" s="9">
        <v>2.54</v>
      </c>
    </row>
    <row r="12" spans="1:11" x14ac:dyDescent="0.25">
      <c r="A12" t="s">
        <v>72</v>
      </c>
      <c r="B12" t="s">
        <v>61</v>
      </c>
      <c r="C12" t="s">
        <v>71</v>
      </c>
      <c r="D12" t="s">
        <v>71</v>
      </c>
      <c r="E12">
        <v>42.87</v>
      </c>
    </row>
    <row r="13" spans="1:11" x14ac:dyDescent="0.25">
      <c r="A13" t="s">
        <v>72</v>
      </c>
      <c r="B13" t="s">
        <v>62</v>
      </c>
      <c r="C13" t="s">
        <v>71</v>
      </c>
      <c r="D13" t="s">
        <v>71</v>
      </c>
      <c r="E13">
        <v>-3.51</v>
      </c>
    </row>
    <row r="14" spans="1:11" x14ac:dyDescent="0.25">
      <c r="A14" s="9" t="s">
        <v>73</v>
      </c>
      <c r="B14" s="9" t="s">
        <v>63</v>
      </c>
      <c r="C14" s="9" t="s">
        <v>71</v>
      </c>
      <c r="D14" s="9" t="s">
        <v>71</v>
      </c>
      <c r="E14" s="9">
        <v>14.29</v>
      </c>
    </row>
    <row r="15" spans="1:11" x14ac:dyDescent="0.25">
      <c r="A15" t="s">
        <v>74</v>
      </c>
      <c r="B15" t="s">
        <v>64</v>
      </c>
      <c r="C15" t="s">
        <v>71</v>
      </c>
      <c r="D15" t="s">
        <v>71</v>
      </c>
      <c r="E15">
        <v>55.03</v>
      </c>
    </row>
    <row r="16" spans="1:11" x14ac:dyDescent="0.25">
      <c r="A16" s="9" t="s">
        <v>75</v>
      </c>
      <c r="B16" s="9" t="s">
        <v>65</v>
      </c>
      <c r="C16" s="9" t="s">
        <v>71</v>
      </c>
      <c r="D16" s="9" t="s">
        <v>71</v>
      </c>
      <c r="E16" s="9">
        <v>5.7</v>
      </c>
    </row>
    <row r="17" spans="1:8" x14ac:dyDescent="0.25">
      <c r="A17" s="9" t="s">
        <v>77</v>
      </c>
      <c r="B17" s="9" t="s">
        <v>76</v>
      </c>
      <c r="C17" s="9" t="s">
        <v>71</v>
      </c>
      <c r="D17" s="9" t="s">
        <v>71</v>
      </c>
      <c r="E17" s="9">
        <v>19.989999999999998</v>
      </c>
    </row>
    <row r="18" spans="1:8" x14ac:dyDescent="0.25">
      <c r="A18" s="9" t="s">
        <v>78</v>
      </c>
      <c r="B18" s="9" t="s">
        <v>79</v>
      </c>
      <c r="C18" s="9" t="s">
        <v>71</v>
      </c>
      <c r="D18" s="9" t="s">
        <v>71</v>
      </c>
      <c r="E18" s="9">
        <v>28.3</v>
      </c>
    </row>
    <row r="19" spans="1:8" x14ac:dyDescent="0.25">
      <c r="A19" s="9" t="s">
        <v>80</v>
      </c>
      <c r="B19" s="9" t="s">
        <v>81</v>
      </c>
      <c r="C19" s="9" t="s">
        <v>71</v>
      </c>
      <c r="D19" s="9" t="s">
        <v>71</v>
      </c>
      <c r="E19" s="9">
        <v>21.43</v>
      </c>
    </row>
    <row r="20" spans="1:8" x14ac:dyDescent="0.25">
      <c r="A20" t="s">
        <v>83</v>
      </c>
      <c r="B20" t="s">
        <v>82</v>
      </c>
      <c r="C20" t="s">
        <v>71</v>
      </c>
      <c r="D20" t="s">
        <v>71</v>
      </c>
      <c r="E20">
        <v>62.83</v>
      </c>
    </row>
    <row r="21" spans="1:8" x14ac:dyDescent="0.25">
      <c r="A21" t="s">
        <v>85</v>
      </c>
      <c r="B21" t="s">
        <v>84</v>
      </c>
      <c r="C21" t="s">
        <v>71</v>
      </c>
      <c r="D21" t="s">
        <v>71</v>
      </c>
      <c r="E21">
        <v>50.08</v>
      </c>
    </row>
    <row r="22" spans="1:8" x14ac:dyDescent="0.25">
      <c r="A22" s="10" t="s">
        <v>86</v>
      </c>
      <c r="B22" s="10" t="s">
        <v>87</v>
      </c>
      <c r="C22" s="10" t="s">
        <v>71</v>
      </c>
      <c r="D22" s="10" t="s">
        <v>71</v>
      </c>
      <c r="E22" s="10">
        <v>37.04</v>
      </c>
      <c r="H22" s="10" t="s">
        <v>126</v>
      </c>
    </row>
    <row r="23" spans="1:8" x14ac:dyDescent="0.25">
      <c r="A23" t="s">
        <v>105</v>
      </c>
      <c r="B23" t="s">
        <v>107</v>
      </c>
      <c r="C23" t="s">
        <v>71</v>
      </c>
      <c r="D23" t="s">
        <v>71</v>
      </c>
      <c r="E23">
        <v>54.98</v>
      </c>
    </row>
    <row r="24" spans="1:8" x14ac:dyDescent="0.25">
      <c r="A24" t="s">
        <v>106</v>
      </c>
      <c r="B24" t="s">
        <v>108</v>
      </c>
      <c r="C24" t="s">
        <v>71</v>
      </c>
      <c r="D24" t="s">
        <v>71</v>
      </c>
      <c r="E24">
        <v>48.51</v>
      </c>
    </row>
    <row r="25" spans="1:8" x14ac:dyDescent="0.25">
      <c r="A25" t="s">
        <v>110</v>
      </c>
      <c r="B25" t="s">
        <v>109</v>
      </c>
      <c r="C25" t="s">
        <v>71</v>
      </c>
      <c r="D25" t="s">
        <v>71</v>
      </c>
      <c r="E25">
        <v>62.09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9984-09C7-4649-A581-86B405346700}">
  <dimension ref="A1:Q35"/>
  <sheetViews>
    <sheetView workbookViewId="0">
      <selection activeCell="H15" sqref="H15"/>
    </sheetView>
  </sheetViews>
  <sheetFormatPr defaultColWidth="8.85546875" defaultRowHeight="15" x14ac:dyDescent="0.25"/>
  <cols>
    <col min="1" max="1" width="18.85546875" customWidth="1"/>
    <col min="2" max="2" width="13.42578125" customWidth="1"/>
    <col min="3" max="3" width="16.140625" customWidth="1"/>
    <col min="4" max="4" width="18.85546875" customWidth="1"/>
    <col min="5" max="5" width="12.85546875" customWidth="1"/>
    <col min="6" max="6" width="14.140625" customWidth="1"/>
    <col min="7" max="7" width="12.7109375" customWidth="1"/>
    <col min="8" max="8" width="9.140625" style="11"/>
  </cols>
  <sheetData>
    <row r="1" spans="1:17" x14ac:dyDescent="0.25">
      <c r="A1" s="2" t="s">
        <v>89</v>
      </c>
      <c r="B1" s="2" t="s">
        <v>90</v>
      </c>
      <c r="C1" s="2" t="s">
        <v>102</v>
      </c>
      <c r="D1" s="2" t="s">
        <v>88</v>
      </c>
      <c r="E1" s="2" t="s">
        <v>47</v>
      </c>
      <c r="F1" s="2" t="s">
        <v>48</v>
      </c>
      <c r="G1" s="2" t="s">
        <v>49</v>
      </c>
      <c r="H1" s="12" t="s">
        <v>50</v>
      </c>
    </row>
    <row r="2" spans="1:17" x14ac:dyDescent="0.25">
      <c r="A2" s="10">
        <v>50</v>
      </c>
      <c r="B2" s="10">
        <v>1.5</v>
      </c>
      <c r="C2" s="10">
        <v>100</v>
      </c>
      <c r="D2" s="10">
        <v>1</v>
      </c>
      <c r="E2" s="10" t="s">
        <v>91</v>
      </c>
      <c r="F2" s="10" t="s">
        <v>71</v>
      </c>
      <c r="G2" s="10" t="s">
        <v>95</v>
      </c>
      <c r="H2" s="10">
        <v>49.01</v>
      </c>
    </row>
    <row r="3" spans="1:17" x14ac:dyDescent="0.25">
      <c r="A3" s="10">
        <v>50</v>
      </c>
      <c r="B3" s="10">
        <v>1.5</v>
      </c>
      <c r="C3" s="10">
        <v>100</v>
      </c>
      <c r="D3" s="10">
        <v>2</v>
      </c>
      <c r="E3" s="10" t="s">
        <v>92</v>
      </c>
      <c r="F3" s="10" t="s">
        <v>71</v>
      </c>
      <c r="G3" s="10" t="s">
        <v>95</v>
      </c>
      <c r="H3" s="10">
        <v>20.75</v>
      </c>
    </row>
    <row r="4" spans="1:17" x14ac:dyDescent="0.25">
      <c r="A4" s="10">
        <v>50</v>
      </c>
      <c r="B4" s="10">
        <v>1.5</v>
      </c>
      <c r="C4" s="10">
        <v>100</v>
      </c>
      <c r="D4" s="10">
        <v>3</v>
      </c>
      <c r="E4" s="10" t="s">
        <v>93</v>
      </c>
      <c r="F4" s="10" t="s">
        <v>95</v>
      </c>
      <c r="G4" s="10" t="s">
        <v>95</v>
      </c>
      <c r="H4" s="10">
        <v>31.77</v>
      </c>
      <c r="K4" s="10" t="s">
        <v>113</v>
      </c>
    </row>
    <row r="5" spans="1:17" x14ac:dyDescent="0.25">
      <c r="A5" s="10">
        <v>50</v>
      </c>
      <c r="B5" s="10">
        <v>3</v>
      </c>
      <c r="C5" s="10">
        <v>100</v>
      </c>
      <c r="D5" s="10">
        <v>1</v>
      </c>
      <c r="E5" s="10" t="s">
        <v>94</v>
      </c>
      <c r="F5" s="10" t="s">
        <v>95</v>
      </c>
      <c r="G5" s="10" t="s">
        <v>95</v>
      </c>
      <c r="H5" s="10">
        <v>44.45</v>
      </c>
      <c r="M5" s="10"/>
    </row>
    <row r="6" spans="1:17" x14ac:dyDescent="0.25">
      <c r="A6" s="10">
        <v>50</v>
      </c>
      <c r="B6" s="10">
        <v>3</v>
      </c>
      <c r="C6" s="10">
        <v>100</v>
      </c>
      <c r="D6" s="10">
        <v>2</v>
      </c>
      <c r="E6" s="10" t="s">
        <v>96</v>
      </c>
      <c r="F6" s="10" t="s">
        <v>71</v>
      </c>
      <c r="G6" s="10" t="s">
        <v>95</v>
      </c>
      <c r="H6" s="10">
        <v>47.98</v>
      </c>
    </row>
    <row r="7" spans="1:17" x14ac:dyDescent="0.25">
      <c r="A7" s="10">
        <v>50</v>
      </c>
      <c r="B7" s="10">
        <v>3</v>
      </c>
      <c r="C7" s="10">
        <v>100</v>
      </c>
      <c r="D7" s="10">
        <v>3</v>
      </c>
      <c r="E7" s="10" t="s">
        <v>97</v>
      </c>
      <c r="F7" s="10" t="s">
        <v>71</v>
      </c>
      <c r="G7" s="10" t="s">
        <v>95</v>
      </c>
      <c r="H7" s="10">
        <v>47.65</v>
      </c>
    </row>
    <row r="8" spans="1:17" x14ac:dyDescent="0.25">
      <c r="A8" s="10">
        <v>50</v>
      </c>
      <c r="B8" s="10">
        <v>6</v>
      </c>
      <c r="C8" s="10">
        <v>100</v>
      </c>
      <c r="D8" s="10">
        <v>1</v>
      </c>
      <c r="E8" s="10" t="s">
        <v>98</v>
      </c>
      <c r="F8" s="10" t="s">
        <v>71</v>
      </c>
      <c r="G8" s="10" t="s">
        <v>95</v>
      </c>
      <c r="H8" s="10">
        <v>47.33</v>
      </c>
    </row>
    <row r="9" spans="1:17" x14ac:dyDescent="0.25">
      <c r="A9" s="10">
        <v>50</v>
      </c>
      <c r="B9" s="10">
        <v>6</v>
      </c>
      <c r="C9" s="10">
        <v>100</v>
      </c>
      <c r="D9" s="10">
        <v>2</v>
      </c>
      <c r="E9" s="10" t="s">
        <v>99</v>
      </c>
      <c r="F9" s="10" t="s">
        <v>71</v>
      </c>
      <c r="G9" s="10" t="s">
        <v>71</v>
      </c>
      <c r="H9" s="10">
        <v>62.53</v>
      </c>
    </row>
    <row r="10" spans="1:17" x14ac:dyDescent="0.25">
      <c r="A10" s="10">
        <v>50</v>
      </c>
      <c r="B10" s="10">
        <v>6</v>
      </c>
      <c r="C10" s="10">
        <v>100</v>
      </c>
      <c r="D10" s="10">
        <v>3</v>
      </c>
      <c r="E10" s="10" t="s">
        <v>100</v>
      </c>
      <c r="F10" s="10" t="s">
        <v>71</v>
      </c>
      <c r="G10" s="10" t="s">
        <v>71</v>
      </c>
      <c r="H10" s="10">
        <v>61.77</v>
      </c>
    </row>
    <row r="11" spans="1:17" x14ac:dyDescent="0.25">
      <c r="A11" s="11">
        <v>50</v>
      </c>
      <c r="B11" s="11">
        <v>1.5</v>
      </c>
      <c r="C11" s="11">
        <v>200</v>
      </c>
      <c r="D11" s="11">
        <v>1</v>
      </c>
      <c r="E11" s="11" t="s">
        <v>101</v>
      </c>
      <c r="F11" s="11" t="s">
        <v>71</v>
      </c>
      <c r="G11" s="11" t="s">
        <v>71</v>
      </c>
      <c r="H11" s="11">
        <v>24.42</v>
      </c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25">
      <c r="A12" s="11">
        <v>50</v>
      </c>
      <c r="B12" s="11">
        <v>3</v>
      </c>
      <c r="C12" s="11">
        <v>200</v>
      </c>
      <c r="D12" s="11">
        <v>1</v>
      </c>
      <c r="E12" s="11" t="s">
        <v>103</v>
      </c>
      <c r="F12" s="11" t="s">
        <v>71</v>
      </c>
      <c r="G12" s="11" t="s">
        <v>71</v>
      </c>
      <c r="H12" s="11">
        <v>42.43</v>
      </c>
      <c r="I12" s="11"/>
      <c r="J12" s="11"/>
      <c r="K12" s="11"/>
      <c r="L12" s="11"/>
      <c r="M12" s="11"/>
      <c r="N12" s="11"/>
      <c r="O12" s="11"/>
      <c r="P12" s="11"/>
      <c r="Q12" s="11"/>
    </row>
    <row r="13" spans="1:17" x14ac:dyDescent="0.25">
      <c r="A13" s="11">
        <v>50</v>
      </c>
      <c r="B13" s="11">
        <v>6</v>
      </c>
      <c r="C13" s="11">
        <v>200</v>
      </c>
      <c r="D13" s="11">
        <v>1</v>
      </c>
      <c r="E13" s="11" t="s">
        <v>104</v>
      </c>
      <c r="F13" s="11" t="s">
        <v>71</v>
      </c>
      <c r="G13" s="11" t="s">
        <v>71</v>
      </c>
      <c r="H13" s="11">
        <v>66.87</v>
      </c>
      <c r="I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25">
      <c r="A14" s="11">
        <v>50</v>
      </c>
      <c r="B14" s="11">
        <v>6</v>
      </c>
      <c r="C14" s="11">
        <v>200</v>
      </c>
      <c r="D14" s="11">
        <v>2</v>
      </c>
      <c r="E14" s="11" t="s">
        <v>125</v>
      </c>
      <c r="F14" s="11" t="s">
        <v>71</v>
      </c>
      <c r="G14" s="11" t="s">
        <v>71</v>
      </c>
      <c r="H14" s="11">
        <v>62.09</v>
      </c>
      <c r="I14" s="11"/>
    </row>
    <row r="15" spans="1:17" x14ac:dyDescent="0.25">
      <c r="A15" s="11"/>
      <c r="B15" s="11"/>
      <c r="C15" s="11"/>
      <c r="D15" s="11"/>
      <c r="E15" s="11"/>
      <c r="F15" s="11"/>
      <c r="G15" s="11"/>
      <c r="I15" s="11"/>
    </row>
    <row r="16" spans="1:17" x14ac:dyDescent="0.25">
      <c r="A16" s="11"/>
      <c r="B16" s="11"/>
      <c r="C16" s="11"/>
      <c r="D16" s="11"/>
      <c r="E16" s="11"/>
      <c r="F16" s="11"/>
      <c r="G16" s="11"/>
      <c r="I16" s="11"/>
    </row>
    <row r="17" spans="1:17" x14ac:dyDescent="0.25">
      <c r="A17" s="11"/>
      <c r="B17" s="11"/>
      <c r="C17" s="11"/>
      <c r="D17" s="11"/>
      <c r="E17" s="11"/>
      <c r="F17" s="11"/>
      <c r="G17" s="11"/>
      <c r="I17" s="11"/>
    </row>
    <row r="18" spans="1:17" x14ac:dyDescent="0.25">
      <c r="A18" s="11"/>
      <c r="B18" s="11"/>
      <c r="C18" s="11"/>
      <c r="D18" s="11"/>
      <c r="E18" s="11"/>
      <c r="F18" s="11"/>
      <c r="G18" s="11"/>
      <c r="I18" s="11"/>
    </row>
    <row r="19" spans="1:17" x14ac:dyDescent="0.25">
      <c r="A19" s="11"/>
      <c r="B19" s="11"/>
      <c r="C19" s="11"/>
      <c r="D19" s="11"/>
      <c r="E19" s="11"/>
      <c r="F19" s="11"/>
      <c r="G19" s="11"/>
      <c r="I19" s="11"/>
    </row>
    <row r="20" spans="1:17" x14ac:dyDescent="0.25">
      <c r="A20" s="11"/>
      <c r="B20" s="11"/>
      <c r="C20" s="11"/>
      <c r="D20" s="11"/>
      <c r="E20" s="11"/>
      <c r="F20" s="11"/>
      <c r="G20" s="11"/>
      <c r="I20" s="11"/>
    </row>
    <row r="21" spans="1:17" x14ac:dyDescent="0.25">
      <c r="A21" s="11"/>
      <c r="B21" s="11"/>
      <c r="C21" s="11"/>
      <c r="D21" s="11"/>
      <c r="E21" s="11"/>
      <c r="F21" s="11"/>
      <c r="G21" s="11"/>
      <c r="I21" s="11"/>
    </row>
    <row r="22" spans="1:17" x14ac:dyDescent="0.25">
      <c r="A22" s="11"/>
      <c r="B22" s="11"/>
      <c r="C22" s="11"/>
      <c r="D22" s="11"/>
      <c r="E22" s="11"/>
      <c r="F22" s="11"/>
      <c r="G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25">
      <c r="A23" s="11"/>
      <c r="B23" s="11"/>
      <c r="C23" s="11"/>
      <c r="D23" s="11"/>
      <c r="E23" s="11"/>
      <c r="F23" s="11"/>
      <c r="G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25">
      <c r="A24" s="11"/>
      <c r="B24" s="11"/>
      <c r="C24" s="11"/>
      <c r="D24" s="11"/>
      <c r="E24" s="11"/>
      <c r="F24" s="11"/>
      <c r="G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25">
      <c r="A25" s="11"/>
      <c r="B25" s="11"/>
      <c r="C25" s="11"/>
      <c r="D25" s="11"/>
      <c r="E25" s="11"/>
      <c r="F25" s="11"/>
      <c r="G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x14ac:dyDescent="0.25">
      <c r="A26" s="11"/>
      <c r="B26" s="11"/>
      <c r="C26" s="11"/>
      <c r="D26" s="11"/>
      <c r="E26" s="11"/>
      <c r="F26" s="11"/>
      <c r="G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x14ac:dyDescent="0.25">
      <c r="A27" s="11"/>
      <c r="B27" s="11"/>
      <c r="C27" s="11"/>
      <c r="D27" s="11"/>
      <c r="E27" s="11"/>
      <c r="F27" s="11"/>
      <c r="G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x14ac:dyDescent="0.25">
      <c r="A28" s="11"/>
      <c r="B28" s="11"/>
      <c r="C28" s="11"/>
      <c r="D28" s="11"/>
      <c r="E28" s="11"/>
      <c r="F28" s="11"/>
      <c r="G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x14ac:dyDescent="0.25">
      <c r="A29" s="11"/>
      <c r="B29" s="11"/>
      <c r="C29" s="11"/>
      <c r="D29" s="11"/>
      <c r="E29" s="11"/>
      <c r="F29" s="11"/>
      <c r="G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x14ac:dyDescent="0.25">
      <c r="A30" s="11"/>
      <c r="B30" s="11"/>
      <c r="C30" s="11"/>
      <c r="D30" s="11"/>
      <c r="E30" s="11"/>
      <c r="F30" s="11"/>
      <c r="G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x14ac:dyDescent="0.25">
      <c r="A31" s="11"/>
      <c r="B31" s="11"/>
      <c r="C31" s="11"/>
      <c r="D31" s="11"/>
      <c r="E31" s="11"/>
      <c r="F31" s="11"/>
      <c r="G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x14ac:dyDescent="0.25">
      <c r="A32" s="11"/>
      <c r="B32" s="11"/>
      <c r="C32" s="11"/>
      <c r="D32" s="11"/>
      <c r="E32" s="11"/>
      <c r="F32" s="11"/>
      <c r="G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x14ac:dyDescent="0.25">
      <c r="A33" s="11"/>
      <c r="B33" s="11"/>
      <c r="C33" s="11"/>
      <c r="D33" s="11"/>
      <c r="E33" s="11"/>
      <c r="F33" s="11"/>
      <c r="G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x14ac:dyDescent="0.25">
      <c r="A34" s="11"/>
      <c r="B34" s="11"/>
      <c r="C34" s="11"/>
      <c r="D34" s="11"/>
      <c r="E34" s="11"/>
      <c r="F34" s="11"/>
      <c r="G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x14ac:dyDescent="0.25">
      <c r="A35" s="11"/>
      <c r="B35" s="11"/>
      <c r="C35" s="11"/>
      <c r="D35" s="11"/>
      <c r="E35" s="11"/>
      <c r="F35" s="11"/>
      <c r="G35" s="11"/>
      <c r="I35" s="11"/>
      <c r="J35" s="11"/>
      <c r="K35" s="11"/>
      <c r="L35" s="11"/>
      <c r="M35" s="11"/>
      <c r="N35" s="11"/>
      <c r="O35" s="11"/>
      <c r="P35" s="11"/>
      <c r="Q35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7C0F-347D-4829-9348-8BF36810042D}">
  <dimension ref="A1:V21"/>
  <sheetViews>
    <sheetView topLeftCell="L1" workbookViewId="0">
      <selection activeCell="P29" sqref="P29"/>
    </sheetView>
  </sheetViews>
  <sheetFormatPr defaultColWidth="8.85546875" defaultRowHeight="15" x14ac:dyDescent="0.25"/>
  <cols>
    <col min="1" max="1" width="13.85546875" customWidth="1"/>
    <col min="2" max="2" width="10.140625" customWidth="1"/>
    <col min="3" max="3" width="13.85546875" customWidth="1"/>
    <col min="4" max="4" width="5" customWidth="1"/>
    <col min="5" max="5" width="24.85546875" customWidth="1"/>
    <col min="6" max="6" width="16.42578125" customWidth="1"/>
    <col min="7" max="8" width="14.28515625" customWidth="1"/>
    <col min="9" max="9" width="21.28515625" customWidth="1"/>
    <col min="10" max="10" width="19.42578125" customWidth="1"/>
    <col min="11" max="11" width="16.42578125" customWidth="1"/>
    <col min="12" max="12" width="36.85546875" customWidth="1"/>
    <col min="13" max="13" width="24" customWidth="1"/>
    <col min="14" max="14" width="30.140625" customWidth="1"/>
    <col min="15" max="15" width="18.7109375" customWidth="1"/>
    <col min="16" max="16" width="17.42578125" customWidth="1"/>
    <col min="17" max="17" width="16.28515625" customWidth="1"/>
    <col min="18" max="18" width="40.28515625" customWidth="1"/>
    <col min="19" max="19" width="24.85546875" customWidth="1"/>
    <col min="20" max="20" width="12" customWidth="1"/>
    <col min="21" max="21" width="16.42578125" customWidth="1"/>
  </cols>
  <sheetData>
    <row r="1" spans="1:22" x14ac:dyDescent="0.25">
      <c r="A1" s="2" t="s">
        <v>0</v>
      </c>
      <c r="B1" s="2" t="s">
        <v>32</v>
      </c>
      <c r="C1" s="2" t="s">
        <v>33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18</v>
      </c>
      <c r="J1" s="2" t="s">
        <v>17</v>
      </c>
      <c r="K1" s="2" t="s">
        <v>6</v>
      </c>
      <c r="L1" s="2" t="s">
        <v>21</v>
      </c>
      <c r="M1" s="2" t="s">
        <v>20</v>
      </c>
      <c r="N1" s="2" t="s">
        <v>19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 x14ac:dyDescent="0.25">
      <c r="A2" t="s">
        <v>7</v>
      </c>
      <c r="B2">
        <v>20</v>
      </c>
      <c r="C2" t="s">
        <v>34</v>
      </c>
      <c r="D2" t="s">
        <v>8</v>
      </c>
      <c r="E2">
        <v>150</v>
      </c>
      <c r="F2">
        <v>6</v>
      </c>
      <c r="G2" s="1">
        <v>9000</v>
      </c>
      <c r="H2">
        <v>5</v>
      </c>
      <c r="I2">
        <v>0.82779999999999998</v>
      </c>
      <c r="J2">
        <v>18.3581</v>
      </c>
      <c r="K2" s="7">
        <v>114.3</v>
      </c>
      <c r="L2" s="1">
        <v>1500000</v>
      </c>
      <c r="M2" s="1">
        <v>1000</v>
      </c>
      <c r="N2" s="1">
        <v>5500000</v>
      </c>
      <c r="O2" s="1">
        <v>1.0999999999999999E-9</v>
      </c>
      <c r="P2" s="1">
        <v>4.9E-9</v>
      </c>
      <c r="Q2" s="3">
        <v>0.49</v>
      </c>
      <c r="R2" s="3">
        <f>M2+(N2*N2*J2*J2*0.000001/(Q2*Q2*0.000001*0.000001*96485*96485*P2))^(1/3)</f>
        <v>9764922.7111039199</v>
      </c>
      <c r="S2" s="4">
        <f t="shared" ref="S2:S13" si="0">100*((R2/(L2*E2) + 1)^-1)</f>
        <v>95.840552924884605</v>
      </c>
      <c r="T2" s="1">
        <f t="shared" ref="T2:T15" si="1">0.01*H2/G2</f>
        <v>5.5555555555555558E-6</v>
      </c>
      <c r="U2" s="3">
        <f>(3.14*96485*96485*Q2*Q2*0.000001*0.000001*O2/(4*J2*J2*0.000001))*((E2 - R2/L2)^2)</f>
        <v>1.1791314551293607E-4</v>
      </c>
      <c r="V2" s="3">
        <f t="shared" ref="V2:V13" si="2">U2/T2</f>
        <v>21.224366192328493</v>
      </c>
    </row>
    <row r="3" spans="1:22" x14ac:dyDescent="0.25">
      <c r="A3" t="s">
        <v>9</v>
      </c>
      <c r="B3">
        <v>20</v>
      </c>
      <c r="C3" t="s">
        <v>34</v>
      </c>
      <c r="D3" t="s">
        <v>8</v>
      </c>
      <c r="E3">
        <v>150</v>
      </c>
      <c r="F3">
        <v>6</v>
      </c>
      <c r="G3" s="1">
        <v>9000</v>
      </c>
      <c r="H3">
        <v>5</v>
      </c>
      <c r="I3">
        <v>0.82779999999999998</v>
      </c>
      <c r="J3">
        <v>18.3581</v>
      </c>
      <c r="K3" s="7">
        <v>-1.1000000000000001</v>
      </c>
      <c r="L3" s="1">
        <v>1500000</v>
      </c>
      <c r="M3" s="1">
        <v>1000</v>
      </c>
      <c r="N3" s="1">
        <v>5500000</v>
      </c>
      <c r="O3" s="1">
        <v>1.0999999999999999E-9</v>
      </c>
      <c r="P3" s="1">
        <v>4.9E-9</v>
      </c>
      <c r="Q3" s="3">
        <v>0.49</v>
      </c>
      <c r="R3" s="3">
        <f t="shared" ref="R3:R13" si="3">M3+(N3*N3*J3*J3*0.000001/(Q3*Q3*0.000001*0.000001*96485*96485*P3))^(1/3)</f>
        <v>9764922.7111039199</v>
      </c>
      <c r="S3" s="4">
        <f t="shared" si="0"/>
        <v>95.840552924884605</v>
      </c>
      <c r="T3" s="1">
        <f t="shared" si="1"/>
        <v>5.5555555555555558E-6</v>
      </c>
      <c r="U3" s="3">
        <f t="shared" ref="U3:U13" si="4">(3.14*96485*96485*Q3*Q3*0.000001*0.000001*O3/(4*J3*J3*0.000001))*((E3 - R3/L3)^2)</f>
        <v>1.1791314551293607E-4</v>
      </c>
      <c r="V3" s="3">
        <f t="shared" si="2"/>
        <v>21.224366192328493</v>
      </c>
    </row>
    <row r="4" spans="1:22" x14ac:dyDescent="0.25">
      <c r="A4" t="s">
        <v>10</v>
      </c>
      <c r="B4">
        <v>20</v>
      </c>
      <c r="C4" t="s">
        <v>34</v>
      </c>
      <c r="D4" t="s">
        <v>11</v>
      </c>
      <c r="E4">
        <v>150</v>
      </c>
      <c r="F4">
        <v>3.5</v>
      </c>
      <c r="G4" s="1">
        <v>9000</v>
      </c>
      <c r="H4">
        <v>5</v>
      </c>
      <c r="I4">
        <v>0.57909999999999995</v>
      </c>
      <c r="J4">
        <v>10.6959</v>
      </c>
      <c r="K4" s="7">
        <v>81.8</v>
      </c>
      <c r="L4" s="1">
        <v>1500000</v>
      </c>
      <c r="M4" s="1">
        <v>1000</v>
      </c>
      <c r="N4" s="1">
        <v>5500000</v>
      </c>
      <c r="O4" s="1">
        <v>1.0999999999999999E-9</v>
      </c>
      <c r="P4" s="1">
        <v>4.9E-9</v>
      </c>
      <c r="Q4" s="3">
        <v>0.49</v>
      </c>
      <c r="R4" s="3">
        <f t="shared" si="3"/>
        <v>6812102.271465743</v>
      </c>
      <c r="S4" s="4">
        <f t="shared" si="0"/>
        <v>97.0613690119214</v>
      </c>
      <c r="T4" s="1">
        <f t="shared" si="1"/>
        <v>5.5555555555555558E-6</v>
      </c>
      <c r="U4" s="3">
        <f t="shared" si="4"/>
        <v>3.5695891598829969E-4</v>
      </c>
      <c r="V4" s="3">
        <f t="shared" si="2"/>
        <v>64.252604877893944</v>
      </c>
    </row>
    <row r="5" spans="1:22" x14ac:dyDescent="0.25">
      <c r="A5" t="s">
        <v>12</v>
      </c>
      <c r="B5">
        <v>20</v>
      </c>
      <c r="C5" t="s">
        <v>34</v>
      </c>
      <c r="D5" t="s">
        <v>11</v>
      </c>
      <c r="E5">
        <v>150</v>
      </c>
      <c r="F5">
        <v>3.5</v>
      </c>
      <c r="G5" s="1">
        <v>9000</v>
      </c>
      <c r="H5">
        <v>5</v>
      </c>
      <c r="I5">
        <v>0.57909999999999995</v>
      </c>
      <c r="J5">
        <v>10.6959</v>
      </c>
      <c r="K5" s="7">
        <v>-9.3000000000000007</v>
      </c>
      <c r="L5" s="1">
        <v>1500000</v>
      </c>
      <c r="M5" s="1">
        <v>1000</v>
      </c>
      <c r="N5" s="1">
        <v>5500000</v>
      </c>
      <c r="O5" s="1">
        <v>1.0999999999999999E-9</v>
      </c>
      <c r="P5" s="1">
        <v>4.9E-9</v>
      </c>
      <c r="Q5" s="3">
        <v>0.49</v>
      </c>
      <c r="R5" s="3">
        <f t="shared" si="3"/>
        <v>6812102.271465743</v>
      </c>
      <c r="S5" s="4">
        <f t="shared" si="0"/>
        <v>97.0613690119214</v>
      </c>
      <c r="T5" s="1">
        <f t="shared" si="1"/>
        <v>5.5555555555555558E-6</v>
      </c>
      <c r="U5" s="3">
        <f t="shared" si="4"/>
        <v>3.5695891598829969E-4</v>
      </c>
      <c r="V5" s="3">
        <f t="shared" si="2"/>
        <v>64.252604877893944</v>
      </c>
    </row>
    <row r="6" spans="1:22" x14ac:dyDescent="0.25">
      <c r="A6" t="s">
        <v>13</v>
      </c>
      <c r="B6">
        <v>20</v>
      </c>
      <c r="C6" t="s">
        <v>34</v>
      </c>
      <c r="D6" t="s">
        <v>8</v>
      </c>
      <c r="E6">
        <v>50</v>
      </c>
      <c r="F6">
        <v>4.5</v>
      </c>
      <c r="G6" s="1">
        <v>9000</v>
      </c>
      <c r="H6">
        <v>5</v>
      </c>
      <c r="I6">
        <v>0.71879999999999999</v>
      </c>
      <c r="J6">
        <v>13.1989</v>
      </c>
      <c r="K6" s="7">
        <v>69.14</v>
      </c>
      <c r="L6" s="1">
        <v>1500000</v>
      </c>
      <c r="M6" s="1">
        <v>1000</v>
      </c>
      <c r="N6" s="1">
        <v>5500000</v>
      </c>
      <c r="O6" s="1">
        <v>1.0999999999999999E-9</v>
      </c>
      <c r="P6" s="1">
        <v>4.9E-9</v>
      </c>
      <c r="Q6" s="3">
        <v>0.49</v>
      </c>
      <c r="R6" s="3">
        <f t="shared" si="3"/>
        <v>7837058.5292014247</v>
      </c>
      <c r="S6" s="5">
        <f t="shared" si="0"/>
        <v>90.539187812374195</v>
      </c>
      <c r="T6" s="1">
        <f t="shared" si="1"/>
        <v>5.5555555555555558E-6</v>
      </c>
      <c r="U6" s="3">
        <f t="shared" si="4"/>
        <v>2.2211379156844238E-5</v>
      </c>
      <c r="V6" s="3">
        <f t="shared" si="2"/>
        <v>3.9980482482319628</v>
      </c>
    </row>
    <row r="7" spans="1:22" x14ac:dyDescent="0.25">
      <c r="A7" t="s">
        <v>14</v>
      </c>
      <c r="B7">
        <v>20</v>
      </c>
      <c r="C7" t="s">
        <v>34</v>
      </c>
      <c r="D7" t="s">
        <v>8</v>
      </c>
      <c r="E7">
        <v>50</v>
      </c>
      <c r="F7">
        <v>4.5</v>
      </c>
      <c r="G7" s="1">
        <v>9000</v>
      </c>
      <c r="H7">
        <v>5</v>
      </c>
      <c r="I7">
        <v>0.71879999999999999</v>
      </c>
      <c r="J7">
        <v>13.1989</v>
      </c>
      <c r="K7" s="7">
        <v>-4.92</v>
      </c>
      <c r="L7" s="1">
        <v>1500000</v>
      </c>
      <c r="M7" s="1">
        <v>1000</v>
      </c>
      <c r="N7" s="1">
        <v>5500000</v>
      </c>
      <c r="O7" s="1">
        <v>1.0999999999999999E-9</v>
      </c>
      <c r="P7" s="1">
        <v>4.9E-9</v>
      </c>
      <c r="Q7" s="3">
        <v>0.49</v>
      </c>
      <c r="R7" s="3">
        <f t="shared" si="3"/>
        <v>7837058.5292014247</v>
      </c>
      <c r="S7" s="5">
        <f t="shared" si="0"/>
        <v>90.539187812374195</v>
      </c>
      <c r="T7" s="1">
        <f t="shared" si="1"/>
        <v>5.5555555555555558E-6</v>
      </c>
      <c r="U7" s="3">
        <f t="shared" si="4"/>
        <v>2.2211379156844238E-5</v>
      </c>
      <c r="V7" s="3">
        <f t="shared" si="2"/>
        <v>3.9980482482319628</v>
      </c>
    </row>
    <row r="8" spans="1:22" x14ac:dyDescent="0.25">
      <c r="A8" t="s">
        <v>15</v>
      </c>
      <c r="B8">
        <v>20</v>
      </c>
      <c r="C8" t="s">
        <v>34</v>
      </c>
      <c r="D8" t="s">
        <v>11</v>
      </c>
      <c r="E8">
        <v>50</v>
      </c>
      <c r="F8">
        <v>3</v>
      </c>
      <c r="G8" s="1">
        <v>9000</v>
      </c>
      <c r="H8">
        <v>5</v>
      </c>
      <c r="I8" s="6">
        <v>0.47799999999999998</v>
      </c>
      <c r="J8">
        <v>8.9184000000000001</v>
      </c>
      <c r="K8" s="7">
        <v>83.22</v>
      </c>
      <c r="L8" s="1">
        <v>1500000</v>
      </c>
      <c r="M8" s="1">
        <v>1000</v>
      </c>
      <c r="N8" s="1">
        <v>5500000</v>
      </c>
      <c r="O8" s="1">
        <v>1.0999999999999999E-9</v>
      </c>
      <c r="P8" s="1">
        <v>4.9E-9</v>
      </c>
      <c r="Q8" s="3">
        <v>0.49</v>
      </c>
      <c r="R8" s="3">
        <f t="shared" si="3"/>
        <v>6034886.5956582502</v>
      </c>
      <c r="S8" s="4">
        <f t="shared" si="0"/>
        <v>92.552730250897156</v>
      </c>
      <c r="T8" s="1">
        <f t="shared" si="1"/>
        <v>5.5555555555555558E-6</v>
      </c>
      <c r="U8" s="3">
        <f t="shared" si="4"/>
        <v>5.1295185123989972E-5</v>
      </c>
      <c r="V8" s="3">
        <f t="shared" si="2"/>
        <v>9.2331333223181939</v>
      </c>
    </row>
    <row r="9" spans="1:22" x14ac:dyDescent="0.25">
      <c r="A9" t="s">
        <v>16</v>
      </c>
      <c r="B9">
        <v>20</v>
      </c>
      <c r="C9" t="s">
        <v>34</v>
      </c>
      <c r="D9" t="s">
        <v>11</v>
      </c>
      <c r="E9">
        <v>50</v>
      </c>
      <c r="F9">
        <v>3</v>
      </c>
      <c r="G9" s="1">
        <v>9000</v>
      </c>
      <c r="H9">
        <v>5</v>
      </c>
      <c r="I9" s="6">
        <v>0.47799999999999998</v>
      </c>
      <c r="J9">
        <v>8.9184000000000001</v>
      </c>
      <c r="K9" s="7">
        <v>-7.4</v>
      </c>
      <c r="L9" s="1">
        <v>1500000</v>
      </c>
      <c r="M9" s="1">
        <v>1000</v>
      </c>
      <c r="N9" s="1">
        <v>5500000</v>
      </c>
      <c r="O9" s="1">
        <v>1.0999999999999999E-9</v>
      </c>
      <c r="P9" s="1">
        <v>4.9E-9</v>
      </c>
      <c r="Q9" s="3">
        <v>0.49</v>
      </c>
      <c r="R9" s="3">
        <f t="shared" si="3"/>
        <v>6034886.5956582502</v>
      </c>
      <c r="S9" s="4">
        <f t="shared" si="0"/>
        <v>92.552730250897156</v>
      </c>
      <c r="T9" s="1">
        <f t="shared" si="1"/>
        <v>5.5555555555555558E-6</v>
      </c>
      <c r="U9" s="3">
        <f t="shared" si="4"/>
        <v>5.1295185123989972E-5</v>
      </c>
      <c r="V9" s="3">
        <f t="shared" si="2"/>
        <v>9.2331333223181939</v>
      </c>
    </row>
    <row r="10" spans="1:22" x14ac:dyDescent="0.25">
      <c r="A10" t="s">
        <v>30</v>
      </c>
      <c r="B10">
        <v>16</v>
      </c>
      <c r="C10" t="s">
        <v>35</v>
      </c>
      <c r="D10" t="s">
        <v>8</v>
      </c>
      <c r="E10">
        <v>150</v>
      </c>
      <c r="F10">
        <v>2</v>
      </c>
      <c r="G10" s="1">
        <v>900</v>
      </c>
      <c r="H10">
        <v>5</v>
      </c>
      <c r="I10">
        <v>1.2074</v>
      </c>
      <c r="J10">
        <v>25.7728</v>
      </c>
      <c r="K10" s="7">
        <v>40.57</v>
      </c>
      <c r="L10" s="1">
        <v>1500000</v>
      </c>
      <c r="M10" s="1">
        <v>1000</v>
      </c>
      <c r="N10" s="1">
        <v>5500000</v>
      </c>
      <c r="O10" s="1">
        <v>1.0999999999999999E-9</v>
      </c>
      <c r="P10" s="1">
        <v>4.9E-9</v>
      </c>
      <c r="Q10" s="3">
        <v>0.49</v>
      </c>
      <c r="R10" s="3">
        <f t="shared" si="3"/>
        <v>12242846.076523231</v>
      </c>
      <c r="S10" s="4">
        <f t="shared" si="0"/>
        <v>94.839529925140823</v>
      </c>
      <c r="T10" s="1">
        <f t="shared" si="1"/>
        <v>5.5555555555555558E-5</v>
      </c>
      <c r="U10" s="3">
        <f t="shared" si="4"/>
        <v>5.8457026852369991E-5</v>
      </c>
      <c r="V10" s="3">
        <f t="shared" si="2"/>
        <v>1.0522264833426598</v>
      </c>
    </row>
    <row r="11" spans="1:22" x14ac:dyDescent="0.25">
      <c r="A11" t="s">
        <v>31</v>
      </c>
      <c r="B11">
        <v>16</v>
      </c>
      <c r="C11" t="s">
        <v>35</v>
      </c>
      <c r="D11" t="s">
        <v>8</v>
      </c>
      <c r="E11">
        <v>150</v>
      </c>
      <c r="F11">
        <v>2</v>
      </c>
      <c r="G11" s="1">
        <v>900</v>
      </c>
      <c r="H11">
        <v>5</v>
      </c>
      <c r="I11">
        <v>1.2074</v>
      </c>
      <c r="J11">
        <v>25.7728</v>
      </c>
      <c r="K11" s="7">
        <v>-21.63</v>
      </c>
      <c r="L11" s="1">
        <v>1500000</v>
      </c>
      <c r="M11" s="1">
        <v>1000</v>
      </c>
      <c r="N11" s="1">
        <v>5500000</v>
      </c>
      <c r="O11" s="1">
        <v>1.0999999999999999E-9</v>
      </c>
      <c r="P11" s="1">
        <v>4.9E-9</v>
      </c>
      <c r="Q11" s="3">
        <v>0.49</v>
      </c>
      <c r="R11" s="3">
        <f t="shared" si="3"/>
        <v>12242846.076523231</v>
      </c>
      <c r="S11" s="4">
        <f t="shared" si="0"/>
        <v>94.839529925140823</v>
      </c>
      <c r="T11" s="1">
        <f t="shared" si="1"/>
        <v>5.5555555555555558E-5</v>
      </c>
      <c r="U11" s="3">
        <f t="shared" si="4"/>
        <v>5.8457026852369991E-5</v>
      </c>
      <c r="V11" s="3">
        <f t="shared" si="2"/>
        <v>1.0522264833426598</v>
      </c>
    </row>
    <row r="12" spans="1:22" x14ac:dyDescent="0.25">
      <c r="A12" t="s">
        <v>36</v>
      </c>
      <c r="B12">
        <v>20</v>
      </c>
      <c r="C12" t="s">
        <v>35</v>
      </c>
      <c r="D12" t="s">
        <v>8</v>
      </c>
      <c r="E12">
        <v>50</v>
      </c>
      <c r="F12">
        <v>2</v>
      </c>
      <c r="G12" s="1">
        <v>900</v>
      </c>
      <c r="H12">
        <v>5</v>
      </c>
      <c r="I12">
        <v>1.2814000000000001</v>
      </c>
      <c r="J12">
        <v>26.8948</v>
      </c>
      <c r="K12" s="7">
        <v>39.409999999999997</v>
      </c>
      <c r="L12" s="1">
        <v>1500000</v>
      </c>
      <c r="M12" s="1">
        <v>1000</v>
      </c>
      <c r="N12" s="1">
        <v>5500000</v>
      </c>
      <c r="O12" s="1">
        <v>1.0999999999999999E-9</v>
      </c>
      <c r="P12" s="1">
        <v>4.9E-9</v>
      </c>
      <c r="Q12" s="3">
        <v>0.49</v>
      </c>
      <c r="R12" s="3">
        <f t="shared" si="3"/>
        <v>12595610.030113606</v>
      </c>
      <c r="S12" s="4">
        <f t="shared" si="0"/>
        <v>85.620729137243885</v>
      </c>
      <c r="T12" s="1">
        <f t="shared" si="1"/>
        <v>5.5555555555555558E-5</v>
      </c>
      <c r="U12" s="3">
        <f t="shared" si="4"/>
        <v>4.6183328757646389E-6</v>
      </c>
      <c r="V12" s="3">
        <f t="shared" si="2"/>
        <v>8.3129991763763497E-2</v>
      </c>
    </row>
    <row r="13" spans="1:22" x14ac:dyDescent="0.25">
      <c r="A13" t="s">
        <v>37</v>
      </c>
      <c r="B13">
        <v>20</v>
      </c>
      <c r="C13" t="s">
        <v>35</v>
      </c>
      <c r="D13" t="s">
        <v>8</v>
      </c>
      <c r="E13">
        <v>50</v>
      </c>
      <c r="F13">
        <v>2</v>
      </c>
      <c r="G13" s="1">
        <v>900</v>
      </c>
      <c r="H13">
        <v>5</v>
      </c>
      <c r="I13">
        <v>1.2814000000000001</v>
      </c>
      <c r="J13">
        <v>26.8948</v>
      </c>
      <c r="K13" s="7">
        <v>-2.76</v>
      </c>
      <c r="L13" s="1">
        <v>1500000</v>
      </c>
      <c r="M13" s="1">
        <v>1000</v>
      </c>
      <c r="N13" s="1">
        <v>5500000</v>
      </c>
      <c r="O13" s="1">
        <v>1.0999999999999999E-9</v>
      </c>
      <c r="P13" s="1">
        <v>4.9E-9</v>
      </c>
      <c r="Q13" s="3">
        <v>0.49</v>
      </c>
      <c r="R13" s="3">
        <f t="shared" si="3"/>
        <v>12595610.030113606</v>
      </c>
      <c r="S13" s="4">
        <f t="shared" si="0"/>
        <v>85.620729137243885</v>
      </c>
      <c r="T13" s="1">
        <f t="shared" si="1"/>
        <v>5.5555555555555558E-5</v>
      </c>
      <c r="U13" s="3">
        <f t="shared" si="4"/>
        <v>4.6183328757646389E-6</v>
      </c>
      <c r="V13" s="3">
        <f t="shared" si="2"/>
        <v>8.3129991763763497E-2</v>
      </c>
    </row>
    <row r="14" spans="1:22" x14ac:dyDescent="0.25">
      <c r="A14" t="s">
        <v>38</v>
      </c>
      <c r="B14">
        <v>20</v>
      </c>
      <c r="C14" t="s">
        <v>35</v>
      </c>
      <c r="D14" t="s">
        <v>11</v>
      </c>
      <c r="E14">
        <v>150</v>
      </c>
      <c r="F14">
        <v>3</v>
      </c>
      <c r="G14" s="1">
        <v>900</v>
      </c>
      <c r="H14">
        <v>5</v>
      </c>
      <c r="I14">
        <v>1.7899</v>
      </c>
      <c r="J14">
        <v>40.129100000000001</v>
      </c>
      <c r="K14" s="8">
        <v>83.45</v>
      </c>
      <c r="L14" s="1">
        <v>1500000</v>
      </c>
      <c r="M14" s="1">
        <v>1000</v>
      </c>
      <c r="N14" s="1">
        <v>5500000</v>
      </c>
      <c r="O14" s="1">
        <v>1.0999999999999999E-9</v>
      </c>
      <c r="P14" s="1">
        <v>4.9E-9</v>
      </c>
      <c r="Q14" s="3">
        <v>0.49</v>
      </c>
      <c r="R14" s="3">
        <f t="shared" ref="R14:R15" si="5">M14+(N14*N14*J14*J14*0.000001/(Q14*Q14*0.000001*0.000001*96485*96485*P14))^(1/3)</f>
        <v>16446438.524426322</v>
      </c>
      <c r="S14" s="4">
        <f t="shared" ref="S14:S15" si="6">100*((R14/(L14*E14) + 1)^-1)</f>
        <v>93.188369799555986</v>
      </c>
      <c r="T14" s="1">
        <f t="shared" si="1"/>
        <v>5.5555555555555558E-5</v>
      </c>
      <c r="U14" s="3">
        <f t="shared" ref="U14:U15" si="7">(3.14*96485*96485*Q14*Q14*0.000001*0.000001*O14/(4*J14*J14*0.000001))*((E14 - R14/L14)^2)</f>
        <v>2.3169036210873721E-5</v>
      </c>
      <c r="V14" s="3">
        <f t="shared" ref="V14:V15" si="8">U14/T14</f>
        <v>0.41704265179572697</v>
      </c>
    </row>
    <row r="15" spans="1:22" x14ac:dyDescent="0.25">
      <c r="A15" t="s">
        <v>39</v>
      </c>
      <c r="B15">
        <v>20</v>
      </c>
      <c r="C15" t="s">
        <v>35</v>
      </c>
      <c r="D15" t="s">
        <v>11</v>
      </c>
      <c r="E15">
        <v>150</v>
      </c>
      <c r="F15">
        <v>3</v>
      </c>
      <c r="G15" s="1">
        <v>900</v>
      </c>
      <c r="H15">
        <v>5</v>
      </c>
      <c r="I15">
        <v>1.7899</v>
      </c>
      <c r="J15">
        <v>40.129100000000001</v>
      </c>
      <c r="K15" s="8">
        <v>-16.18</v>
      </c>
      <c r="L15" s="1">
        <v>1500000</v>
      </c>
      <c r="M15" s="1">
        <v>1000</v>
      </c>
      <c r="N15" s="1">
        <v>5500000</v>
      </c>
      <c r="O15" s="1">
        <v>1.0999999999999999E-9</v>
      </c>
      <c r="P15" s="1">
        <v>4.9E-9</v>
      </c>
      <c r="Q15" s="3">
        <v>0.49</v>
      </c>
      <c r="R15" s="3">
        <f t="shared" si="5"/>
        <v>16446438.524426322</v>
      </c>
      <c r="S15" s="4">
        <f t="shared" si="6"/>
        <v>93.188369799555986</v>
      </c>
      <c r="T15" s="1">
        <f t="shared" si="1"/>
        <v>5.5555555555555558E-5</v>
      </c>
      <c r="U15" s="3">
        <f t="shared" si="7"/>
        <v>2.3169036210873721E-5</v>
      </c>
      <c r="V15" s="3">
        <f t="shared" si="8"/>
        <v>0.41704265179572697</v>
      </c>
    </row>
    <row r="16" spans="1:22" x14ac:dyDescent="0.25">
      <c r="A16" t="s">
        <v>40</v>
      </c>
      <c r="B16">
        <v>20</v>
      </c>
      <c r="C16" t="s">
        <v>35</v>
      </c>
      <c r="D16" t="s">
        <v>11</v>
      </c>
      <c r="E16">
        <v>50</v>
      </c>
      <c r="F16">
        <v>3</v>
      </c>
      <c r="G16" s="1">
        <v>900</v>
      </c>
      <c r="H16">
        <v>5</v>
      </c>
      <c r="I16">
        <v>1.8162</v>
      </c>
      <c r="J16">
        <v>40.427500000000002</v>
      </c>
      <c r="K16" s="8">
        <v>47.31</v>
      </c>
      <c r="L16" s="1">
        <v>1500000</v>
      </c>
      <c r="M16" s="1">
        <v>1000</v>
      </c>
      <c r="N16" s="1">
        <v>5500000</v>
      </c>
      <c r="O16" s="1">
        <v>1.0999999999999999E-9</v>
      </c>
      <c r="P16" s="1">
        <v>4.9E-9</v>
      </c>
      <c r="Q16" s="3">
        <v>0.49</v>
      </c>
      <c r="R16" s="3">
        <f t="shared" ref="R16:R17" si="9">M16+(N16*N16*J16*J16*0.000001/(Q16*Q16*0.000001*0.000001*96485*96485*P16))^(1/3)</f>
        <v>16527863.343564782</v>
      </c>
      <c r="S16" s="4">
        <f t="shared" ref="S16:S17" si="10">100*((R16/(L16*E16) + 1)^-1)</f>
        <v>81.942260269394964</v>
      </c>
      <c r="T16" s="1">
        <f t="shared" ref="T16:T17" si="11">0.01*H16/G16</f>
        <v>5.5555555555555558E-5</v>
      </c>
      <c r="U16" s="3">
        <f t="shared" ref="U16:U17" si="12">(3.14*96485*96485*Q16*Q16*0.000001*0.000001*O16/(4*J16*J16*0.000001))*((E16 - R16/L16)^2)</f>
        <v>1.7944681001842352E-6</v>
      </c>
      <c r="V16" s="3">
        <f t="shared" ref="V16:V17" si="13">U16/T16</f>
        <v>3.2300425803316234E-2</v>
      </c>
    </row>
    <row r="17" spans="1:22" x14ac:dyDescent="0.25">
      <c r="A17" t="s">
        <v>41</v>
      </c>
      <c r="B17">
        <v>20</v>
      </c>
      <c r="C17" t="s">
        <v>35</v>
      </c>
      <c r="D17" t="s">
        <v>11</v>
      </c>
      <c r="E17">
        <v>50</v>
      </c>
      <c r="F17">
        <v>3</v>
      </c>
      <c r="G17" s="1">
        <v>900</v>
      </c>
      <c r="H17">
        <v>5</v>
      </c>
      <c r="I17">
        <v>1.8162</v>
      </c>
      <c r="J17">
        <v>40.427500000000002</v>
      </c>
      <c r="K17" s="8">
        <v>-9.61</v>
      </c>
      <c r="L17" s="1">
        <v>1500000</v>
      </c>
      <c r="M17" s="1">
        <v>1000</v>
      </c>
      <c r="N17" s="1">
        <v>5500000</v>
      </c>
      <c r="O17" s="1">
        <v>1.0999999999999999E-9</v>
      </c>
      <c r="P17" s="1">
        <v>4.9E-9</v>
      </c>
      <c r="Q17" s="3">
        <v>0.49</v>
      </c>
      <c r="R17" s="3">
        <f t="shared" si="9"/>
        <v>16527863.343564782</v>
      </c>
      <c r="S17" s="4">
        <f t="shared" si="10"/>
        <v>81.942260269394964</v>
      </c>
      <c r="T17" s="1">
        <f t="shared" si="11"/>
        <v>5.5555555555555558E-5</v>
      </c>
      <c r="U17" s="3">
        <f t="shared" si="12"/>
        <v>1.7944681001842352E-6</v>
      </c>
      <c r="V17" s="3">
        <f t="shared" si="13"/>
        <v>3.2300425803316234E-2</v>
      </c>
    </row>
    <row r="18" spans="1:22" x14ac:dyDescent="0.25">
      <c r="A18" t="s">
        <v>42</v>
      </c>
      <c r="B18">
        <v>20</v>
      </c>
      <c r="C18" t="s">
        <v>35</v>
      </c>
      <c r="D18" t="s">
        <v>11</v>
      </c>
      <c r="E18">
        <v>50</v>
      </c>
      <c r="F18">
        <v>3</v>
      </c>
      <c r="G18" s="1">
        <v>3000</v>
      </c>
      <c r="H18">
        <v>5</v>
      </c>
      <c r="I18">
        <v>0.88380000000000003</v>
      </c>
      <c r="J18">
        <v>22.155100000000001</v>
      </c>
      <c r="K18" s="8">
        <v>76.89</v>
      </c>
      <c r="L18" s="1">
        <v>1500000</v>
      </c>
      <c r="M18" s="1">
        <v>1000</v>
      </c>
      <c r="N18" s="1">
        <v>5500000</v>
      </c>
      <c r="O18" s="1">
        <v>1.0999999999999999E-9</v>
      </c>
      <c r="P18" s="1">
        <v>4.9E-9</v>
      </c>
      <c r="Q18" s="3">
        <v>0.49</v>
      </c>
      <c r="R18" s="3">
        <f t="shared" ref="R18:R21" si="14">M18+(N18*N18*J18*J18*0.000001/(Q18*Q18*0.000001*0.000001*96485*96485*P18))^(1/3)</f>
        <v>11068639.090272289</v>
      </c>
      <c r="S18" s="4">
        <f t="shared" ref="S18:S21" si="15">100*((R18/(L18*E18) + 1)^-1)</f>
        <v>87.13975356498544</v>
      </c>
      <c r="T18" s="1">
        <f t="shared" ref="T18:T21" si="16">0.01*H18/G18</f>
        <v>1.6666666666666667E-5</v>
      </c>
      <c r="U18" s="3">
        <f t="shared" ref="U18:U21" si="17">(3.14*96485*96485*Q18*Q18*0.000001*0.000001*O18/(4*J18*J18*0.000001))*((E18 - R18/L18)^2)</f>
        <v>7.1428586463171587E-6</v>
      </c>
      <c r="V18" s="3">
        <f t="shared" ref="V18:V21" si="18">U18/T18</f>
        <v>0.42857151877902949</v>
      </c>
    </row>
    <row r="19" spans="1:22" x14ac:dyDescent="0.25">
      <c r="A19" t="s">
        <v>43</v>
      </c>
      <c r="B19">
        <v>20</v>
      </c>
      <c r="C19" t="s">
        <v>35</v>
      </c>
      <c r="D19" t="s">
        <v>11</v>
      </c>
      <c r="E19">
        <v>50</v>
      </c>
      <c r="F19">
        <v>3</v>
      </c>
      <c r="G19" s="1">
        <v>3000</v>
      </c>
      <c r="H19">
        <v>5</v>
      </c>
      <c r="I19">
        <v>0.88380000000000003</v>
      </c>
      <c r="J19">
        <v>22.155100000000001</v>
      </c>
      <c r="K19" s="8">
        <v>-18.010000000000002</v>
      </c>
      <c r="L19" s="1">
        <v>1500000</v>
      </c>
      <c r="M19" s="1">
        <v>1000</v>
      </c>
      <c r="N19" s="1">
        <v>5500000</v>
      </c>
      <c r="O19" s="1">
        <v>1.0999999999999999E-9</v>
      </c>
      <c r="P19" s="1">
        <v>4.9E-9</v>
      </c>
      <c r="Q19" s="3">
        <v>0.49</v>
      </c>
      <c r="R19" s="3">
        <f t="shared" si="14"/>
        <v>11068639.090272289</v>
      </c>
      <c r="S19" s="4">
        <f t="shared" si="15"/>
        <v>87.13975356498544</v>
      </c>
      <c r="T19" s="1">
        <f t="shared" si="16"/>
        <v>1.6666666666666667E-5</v>
      </c>
      <c r="U19" s="3">
        <f t="shared" si="17"/>
        <v>7.1428586463171587E-6</v>
      </c>
      <c r="V19" s="3">
        <f t="shared" si="18"/>
        <v>0.42857151877902949</v>
      </c>
    </row>
    <row r="20" spans="1:22" x14ac:dyDescent="0.25">
      <c r="A20" t="s">
        <v>45</v>
      </c>
      <c r="B20">
        <v>20</v>
      </c>
      <c r="C20" t="s">
        <v>35</v>
      </c>
      <c r="D20" t="s">
        <v>11</v>
      </c>
      <c r="E20">
        <v>150</v>
      </c>
      <c r="F20">
        <v>3</v>
      </c>
      <c r="G20" s="1">
        <v>3000</v>
      </c>
      <c r="H20">
        <v>5</v>
      </c>
      <c r="I20">
        <v>0.91910000000000003</v>
      </c>
      <c r="J20">
        <v>22.405100000000001</v>
      </c>
      <c r="K20" s="8">
        <v>120.71</v>
      </c>
      <c r="L20" s="1">
        <v>1500000</v>
      </c>
      <c r="M20" s="1">
        <v>1000</v>
      </c>
      <c r="N20" s="1">
        <v>5500000</v>
      </c>
      <c r="O20" s="1">
        <v>1.0999999999999999E-9</v>
      </c>
      <c r="P20" s="1">
        <v>4.9E-9</v>
      </c>
      <c r="Q20" s="3">
        <v>0.49</v>
      </c>
      <c r="R20" s="3">
        <f t="shared" si="14"/>
        <v>11151742.063575441</v>
      </c>
      <c r="S20" s="4">
        <f t="shared" si="15"/>
        <v>95.277721872331895</v>
      </c>
      <c r="T20" s="1">
        <f t="shared" si="16"/>
        <v>1.6666666666666667E-5</v>
      </c>
      <c r="U20" s="3">
        <f t="shared" si="17"/>
        <v>7.8146448658410981E-5</v>
      </c>
      <c r="V20" s="3">
        <f t="shared" si="18"/>
        <v>4.6887869195046585</v>
      </c>
    </row>
    <row r="21" spans="1:22" x14ac:dyDescent="0.25">
      <c r="A21" t="s">
        <v>44</v>
      </c>
      <c r="B21">
        <v>20</v>
      </c>
      <c r="C21" t="s">
        <v>35</v>
      </c>
      <c r="D21" t="s">
        <v>11</v>
      </c>
      <c r="E21">
        <v>150</v>
      </c>
      <c r="F21">
        <v>3</v>
      </c>
      <c r="G21" s="1">
        <v>3000</v>
      </c>
      <c r="H21">
        <v>5</v>
      </c>
      <c r="I21">
        <v>0.91910000000000003</v>
      </c>
      <c r="J21">
        <v>22.405100000000001</v>
      </c>
      <c r="K21" s="8">
        <v>-36.49</v>
      </c>
      <c r="L21" s="1">
        <v>1500000</v>
      </c>
      <c r="M21" s="1">
        <v>1000</v>
      </c>
      <c r="N21" s="1">
        <v>5500000</v>
      </c>
      <c r="O21" s="1">
        <v>1.0999999999999999E-9</v>
      </c>
      <c r="P21" s="1">
        <v>4.9E-9</v>
      </c>
      <c r="Q21" s="3">
        <v>0.49</v>
      </c>
      <c r="R21" s="3">
        <f t="shared" si="14"/>
        <v>11151742.063575441</v>
      </c>
      <c r="S21" s="4">
        <f t="shared" si="15"/>
        <v>95.277721872331895</v>
      </c>
      <c r="T21" s="1">
        <f t="shared" si="16"/>
        <v>1.6666666666666667E-5</v>
      </c>
      <c r="U21" s="3">
        <f t="shared" si="17"/>
        <v>7.8146448658410981E-5</v>
      </c>
      <c r="V21" s="3">
        <f t="shared" si="18"/>
        <v>4.6887869195046585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bcf2e0-30af-48b2-a509-1a26221c78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83DD69749FC4EA7FC7BFE805281F8" ma:contentTypeVersion="18" ma:contentTypeDescription="Create a new document." ma:contentTypeScope="" ma:versionID="4b4dcf98f1d21f1233a93c389222de88">
  <xsd:schema xmlns:xsd="http://www.w3.org/2001/XMLSchema" xmlns:xs="http://www.w3.org/2001/XMLSchema" xmlns:p="http://schemas.microsoft.com/office/2006/metadata/properties" xmlns:ns3="89bcf2e0-30af-48b2-a509-1a26221c78be" xmlns:ns4="e5f47a02-8d60-4733-a803-e873fa032077" targetNamespace="http://schemas.microsoft.com/office/2006/metadata/properties" ma:root="true" ma:fieldsID="51ea82839a1927571f7fac51a14c1f5a" ns3:_="" ns4:_="">
    <xsd:import namespace="89bcf2e0-30af-48b2-a509-1a26221c78be"/>
    <xsd:import namespace="e5f47a02-8d60-4733-a803-e873fa0320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cf2e0-30af-48b2-a509-1a26221c7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47a02-8d60-4733-a803-e873fa0320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932B17-3592-48A3-9A9A-B92298735E17}">
  <ds:schemaRefs>
    <ds:schemaRef ds:uri="http://schemas.microsoft.com/office/2006/metadata/properties"/>
    <ds:schemaRef ds:uri="http://schemas.openxmlformats.org/package/2006/metadata/core-properties"/>
    <ds:schemaRef ds:uri="89bcf2e0-30af-48b2-a509-1a26221c78be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e5f47a02-8d60-4733-a803-e873fa032077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F361A1-275D-4082-B843-2B57A0DBC9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C8C19-35F2-47FF-AB2F-7B10090784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bcf2e0-30af-48b2-a509-1a26221c78be"/>
    <ds:schemaRef ds:uri="e5f47a02-8d60-4733-a803-e873fa0320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new, 50 mM, Ar</vt:lpstr>
      <vt:lpstr>Optical + Electrical, 20 mM</vt:lpstr>
      <vt:lpstr>Maybe 50 mM EG  </vt:lpstr>
      <vt:lpstr>Optical + Electrical, 50 mM</vt:lpstr>
      <vt:lpstr>DC, Membrane - Ar</vt:lpstr>
      <vt:lpstr>DC, Membrane - He</vt:lpstr>
      <vt:lpstr>OLD Pulsing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Peyres, Sean</dc:creator>
  <cp:lastModifiedBy>Peyres, Sean</cp:lastModifiedBy>
  <dcterms:created xsi:type="dcterms:W3CDTF">2026-05-30T15:49:43Z</dcterms:created>
  <dcterms:modified xsi:type="dcterms:W3CDTF">2026-09-22T19:33:31Z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0x01010004B83DD69749FC4EA7FC7BFE805281F8</vt:lpwstr>
  </property>
</Properties>
</file>