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29400" windowHeight="16820" tabRatio="600" firstSheet="0" activeTab="1" autoFilterDateGrouping="1"/>
  </bookViews>
  <sheets>
    <sheet name="new, 50 mM, Ar" sheetId="1" state="visible" r:id="rId1"/>
    <sheet name="ISE Tracker" sheetId="2" state="visible" r:id="rId2"/>
    <sheet name="Optical + Electrical, 20 mM" sheetId="3" state="visible" r:id="rId3"/>
    <sheet name="Maybe 50 mM EG  " sheetId="4" state="visible" r:id="rId4"/>
    <sheet name="Optical + Electrical, 50 mM" sheetId="5" state="visible" r:id="rId5"/>
    <sheet name="DC, Membrane - Ar" sheetId="6" state="visible" r:id="rId6"/>
    <sheet name="DC, Membrane - He" sheetId="7" state="visible" r:id="rId7"/>
    <sheet name="OLD Pulsing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6">
    <numFmt numFmtId="164" formatCode="0.0000"/>
    <numFmt numFmtId="165" formatCode="0.0"/>
    <numFmt numFmtId="166" formatCode="0.000"/>
    <numFmt numFmtId="167" formatCode="yyyy\-mm\-dd"/>
    <numFmt numFmtId="168" formatCode="yyyy\-mm\-dd\ hh:mm:ss"/>
    <numFmt numFmtId="169" formatCode="YYYY-MM-DD"/>
  </numFmts>
  <fonts count="9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rgb="FFC00000"/>
      <sz val="11"/>
      <scheme val="minor"/>
    </font>
    <font>
      <name val="Aptos Narrow"/>
      <family val="2"/>
      <color theme="5"/>
      <sz val="11"/>
      <scheme val="minor"/>
    </font>
    <font>
      <name val="Aptos Narrow"/>
      <family val="2"/>
      <sz val="11"/>
      <scheme val="minor"/>
    </font>
    <font>
      <name val="Aptos Narrow"/>
      <family val="2"/>
      <b val="1"/>
      <sz val="11"/>
      <scheme val="minor"/>
    </font>
    <font>
      <name val="Aptos Narrow"/>
      <b val="1"/>
      <sz val="11"/>
    </font>
    <font>
      <b val="1"/>
    </font>
  </fonts>
  <fills count="9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6" tint="0.7999816888943144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2">
    <xf numFmtId="0" fontId="1" fillId="0" borderId="0"/>
    <xf numFmtId="9" fontId="1" fillId="0" borderId="0"/>
  </cellStyleXfs>
  <cellXfs count="71">
    <xf numFmtId="0" fontId="0" fillId="0" borderId="0" pivotButton="0" quotePrefix="0" xfId="0"/>
    <xf numFmtId="11" fontId="0" fillId="0" borderId="0" pivotButton="0" quotePrefix="0" xfId="0"/>
    <xf numFmtId="0" fontId="2" fillId="0" borderId="0" pivotButton="0" quotePrefix="0" xfId="0"/>
    <xf numFmtId="11" fontId="0" fillId="2" borderId="0" pivotButton="0" quotePrefix="0" xfId="0"/>
    <xf numFmtId="2" fontId="0" fillId="2" borderId="0" pivotButton="0" quotePrefix="0" xfId="1"/>
    <xf numFmtId="164" fontId="0" fillId="0" borderId="0" pivotButton="0" quotePrefix="0" xfId="0"/>
    <xf numFmtId="2" fontId="0" fillId="0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0" borderId="1" pivotButton="0" quotePrefix="0" xfId="0"/>
    <xf numFmtId="0" fontId="0" fillId="3" borderId="1" pivotButton="0" quotePrefix="0" xfId="0"/>
    <xf numFmtId="165" fontId="0" fillId="3" borderId="1" pivotButton="0" quotePrefix="0" xfId="0"/>
    <xf numFmtId="11" fontId="0" fillId="3" borderId="1" pivotButton="0" quotePrefix="0" xfId="0"/>
    <xf numFmtId="164" fontId="0" fillId="3" borderId="1" pivotButton="0" quotePrefix="0" xfId="0"/>
    <xf numFmtId="0" fontId="0" fillId="4" borderId="1" pivotButton="0" quotePrefix="0" xfId="0"/>
    <xf numFmtId="165" fontId="0" fillId="4" borderId="1" pivotButton="0" quotePrefix="0" xfId="0"/>
    <xf numFmtId="11" fontId="0" fillId="4" borderId="1" pivotButton="0" quotePrefix="0" xfId="0"/>
    <xf numFmtId="164" fontId="0" fillId="4" borderId="1" pivotButton="0" quotePrefix="0" xfId="0"/>
    <xf numFmtId="2" fontId="0" fillId="3" borderId="1" pivotButton="0" quotePrefix="0" xfId="0"/>
    <xf numFmtId="2" fontId="0" fillId="4" borderId="1" pivotButton="0" quotePrefix="0" xfId="0"/>
    <xf numFmtId="9" fontId="0" fillId="3" borderId="1" pivotButton="0" quotePrefix="0" xfId="1"/>
    <xf numFmtId="9" fontId="0" fillId="4" borderId="1" pivotButton="0" quotePrefix="0" xfId="1"/>
    <xf numFmtId="166" fontId="0" fillId="3" borderId="1" pivotButton="0" quotePrefix="0" xfId="0"/>
    <xf numFmtId="166" fontId="0" fillId="4" borderId="1" pivotButton="0" quotePrefix="0" xfId="0"/>
    <xf numFmtId="10" fontId="0" fillId="3" borderId="1" pivotButton="0" quotePrefix="0" xfId="1"/>
    <xf numFmtId="10" fontId="0" fillId="4" borderId="1" pivotButton="0" quotePrefix="0" xfId="1"/>
    <xf numFmtId="0" fontId="0" fillId="5" borderId="1" pivotButton="0" quotePrefix="0" xfId="0"/>
    <xf numFmtId="165" fontId="0" fillId="5" borderId="1" pivotButton="0" quotePrefix="0" xfId="0"/>
    <xf numFmtId="11" fontId="0" fillId="5" borderId="1" pivotButton="0" quotePrefix="0" xfId="0"/>
    <xf numFmtId="10" fontId="0" fillId="5" borderId="1" pivotButton="0" quotePrefix="0" xfId="1"/>
    <xf numFmtId="164" fontId="0" fillId="5" borderId="1" pivotButton="0" quotePrefix="0" xfId="0"/>
    <xf numFmtId="9" fontId="0" fillId="5" borderId="1" pivotButton="0" quotePrefix="0" xfId="1"/>
    <xf numFmtId="2" fontId="0" fillId="5" borderId="1" pivotButton="0" quotePrefix="0" xfId="0"/>
    <xf numFmtId="166" fontId="0" fillId="5" borderId="1" pivotButton="0" quotePrefix="0" xfId="0"/>
    <xf numFmtId="0" fontId="0" fillId="5" borderId="0" pivotButton="0" quotePrefix="0" xfId="0"/>
    <xf numFmtId="0" fontId="0" fillId="6" borderId="1" pivotButton="0" quotePrefix="0" xfId="0"/>
    <xf numFmtId="164" fontId="0" fillId="6" borderId="1" pivotButton="0" quotePrefix="0" xfId="0"/>
    <xf numFmtId="11" fontId="0" fillId="6" borderId="1" pivotButton="0" quotePrefix="0" xfId="0"/>
    <xf numFmtId="9" fontId="0" fillId="6" borderId="1" pivotButton="0" quotePrefix="0" xfId="1"/>
    <xf numFmtId="10" fontId="0" fillId="6" borderId="1" pivotButton="0" quotePrefix="0" xfId="1"/>
    <xf numFmtId="166" fontId="0" fillId="6" borderId="1" pivotButton="0" quotePrefix="0" xfId="0"/>
    <xf numFmtId="0" fontId="0" fillId="0" borderId="1" pivotButton="0" quotePrefix="0" xfId="0"/>
    <xf numFmtId="2" fontId="0" fillId="6" borderId="1" pivotButton="0" quotePrefix="0" xfId="0"/>
    <xf numFmtId="10" fontId="0" fillId="0" borderId="1" pivotButton="0" quotePrefix="0" xfId="1"/>
    <xf numFmtId="0" fontId="0" fillId="7" borderId="1" pivotButton="0" quotePrefix="0" xfId="0"/>
    <xf numFmtId="11" fontId="0" fillId="7" borderId="1" pivotButton="0" quotePrefix="0" xfId="0"/>
    <xf numFmtId="164" fontId="0" fillId="7" borderId="1" pivotButton="0" quotePrefix="0" xfId="0"/>
    <xf numFmtId="10" fontId="0" fillId="7" borderId="1" pivotButton="0" quotePrefix="0" xfId="1"/>
    <xf numFmtId="166" fontId="0" fillId="7" borderId="1" pivotButton="0" quotePrefix="0" xfId="0"/>
    <xf numFmtId="165" fontId="0" fillId="6" borderId="1" pivotButton="0" quotePrefix="0" xfId="0"/>
    <xf numFmtId="165" fontId="0" fillId="7" borderId="1" pivotButton="0" quotePrefix="0" xfId="0"/>
    <xf numFmtId="2" fontId="0" fillId="7" borderId="1" pivotButton="0" quotePrefix="0" xfId="0"/>
    <xf numFmtId="9" fontId="0" fillId="7" borderId="1" pivotButton="0" quotePrefix="0" xfId="1"/>
    <xf numFmtId="0" fontId="0" fillId="8" borderId="1" pivotButton="0" quotePrefix="0" xfId="0"/>
    <xf numFmtId="11" fontId="0" fillId="8" borderId="1" pivotButton="0" quotePrefix="0" xfId="0"/>
    <xf numFmtId="165" fontId="0" fillId="8" borderId="1" pivotButton="0" quotePrefix="0" xfId="0"/>
    <xf numFmtId="164" fontId="0" fillId="8" borderId="1" pivotButton="0" quotePrefix="0" xfId="0"/>
    <xf numFmtId="10" fontId="0" fillId="8" borderId="1" pivotButton="0" quotePrefix="0" xfId="1"/>
    <xf numFmtId="9" fontId="0" fillId="8" borderId="1" pivotButton="0" quotePrefix="0" xfId="1"/>
    <xf numFmtId="2" fontId="0" fillId="8" borderId="1" pivotButton="0" quotePrefix="0" xfId="0"/>
    <xf numFmtId="166" fontId="0" fillId="8" borderId="1" pivotButton="0" quotePrefix="0" xfId="0"/>
    <xf numFmtId="167" fontId="0" fillId="0" borderId="0" pivotButton="0" quotePrefix="0" xfId="0"/>
    <xf numFmtId="168" fontId="0" fillId="0" borderId="0" pivotButton="0" quotePrefix="0" xfId="0"/>
    <xf numFmtId="0" fontId="7" fillId="0" borderId="2" applyAlignment="1" pivotButton="0" quotePrefix="0" xfId="0">
      <alignment horizontal="center" vertical="top"/>
    </xf>
    <xf numFmtId="0" fontId="8" fillId="0" borderId="3" applyAlignment="1" pivotButton="0" quotePrefix="0" xfId="0">
      <alignment horizontal="center" vertical="top"/>
    </xf>
    <xf numFmtId="169" fontId="0" fillId="0" borderId="0" pivotButton="0" quotePrefix="0" xfId="0"/>
  </cellXfs>
  <cellStyles count="2">
    <cellStyle name="Normal" xfId="0" builtinId="0"/>
    <cellStyle name="Percent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G1" sqref="G1"/>
    </sheetView>
  </sheetViews>
  <sheetFormatPr baseColWidth="10" defaultColWidth="8.83203125" defaultRowHeight="15"/>
  <cols>
    <col width="17.33203125" customWidth="1" min="2" max="2"/>
    <col width="15.6640625" customWidth="1" min="3" max="3"/>
    <col width="22.83203125" customWidth="1" min="4" max="4"/>
    <col width="17.1640625" customWidth="1" min="5" max="5"/>
    <col width="17.83203125" customWidth="1" min="6" max="6"/>
  </cols>
  <sheetData>
    <row r="1">
      <c r="A1" s="2" t="inlineStr">
        <is>
          <t>Name</t>
        </is>
      </c>
      <c r="B1" s="2" t="inlineStr">
        <is>
          <t>Duty Cycle (%)</t>
        </is>
      </c>
      <c r="C1" s="2" t="inlineStr">
        <is>
          <t>Frequency (Hz)</t>
        </is>
      </c>
      <c r="D1" s="2" t="inlineStr">
        <is>
          <t>Set HVDC Current (mA)</t>
        </is>
      </c>
      <c r="E1" s="2" t="inlineStr">
        <is>
          <t>Avg Current (mA)</t>
        </is>
      </c>
      <c r="F1" s="2" t="inlineStr">
        <is>
          <t>Peak Current (mA)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tabSelected="1" zoomScale="162" workbookViewId="0">
      <selection activeCell="A2" sqref="A2"/>
    </sheetView>
  </sheetViews>
  <sheetFormatPr baseColWidth="10" defaultRowHeight="15"/>
  <sheetData>
    <row r="1">
      <c r="A1" s="69" t="inlineStr">
        <is>
          <t>Date</t>
        </is>
      </c>
    </row>
    <row r="2">
      <c r="A2" s="70" t="n">
        <v>46268</v>
      </c>
    </row>
    <row r="3">
      <c r="A3" s="67" t="n"/>
    </row>
    <row r="4">
      <c r="A4" s="67" t="n"/>
    </row>
    <row r="5">
      <c r="A5" s="67" t="n"/>
    </row>
    <row r="6">
      <c r="A6" s="67" t="n"/>
    </row>
    <row r="7">
      <c r="A7" s="67" t="n"/>
    </row>
    <row r="8">
      <c r="A8" s="66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46"/>
  <sheetViews>
    <sheetView topLeftCell="U7" zoomScale="140" workbookViewId="0">
      <selection activeCell="W12" sqref="W12:Z12"/>
    </sheetView>
  </sheetViews>
  <sheetFormatPr baseColWidth="10" defaultColWidth="8.83203125" defaultRowHeight="15"/>
  <cols>
    <col width="29.33203125" customWidth="1" min="1" max="1"/>
    <col width="23.33203125" customWidth="1" min="2" max="2"/>
    <col width="23" customWidth="1" min="3" max="3"/>
    <col width="16.6640625" customWidth="1" min="4" max="4"/>
    <col width="15.6640625" customWidth="1" min="5" max="5"/>
    <col width="18.83203125" customWidth="1" min="6" max="6"/>
    <col width="25.6640625" customWidth="1" min="7" max="8"/>
    <col width="22.6640625" customWidth="1" min="9" max="13"/>
    <col width="32" customWidth="1" min="14" max="14"/>
    <col width="35.5" customWidth="1" min="15" max="15"/>
    <col width="16.33203125" customWidth="1" min="16" max="16"/>
    <col width="29.5" customWidth="1" min="17" max="17"/>
    <col width="36.5" customWidth="1" min="18" max="18"/>
    <col width="41" customWidth="1" min="19" max="19"/>
    <col width="31.1640625" customWidth="1" min="20" max="20"/>
    <col width="23.83203125" customWidth="1" min="21" max="21"/>
    <col width="33.1640625" customWidth="1" min="22" max="22"/>
    <col width="32.1640625" customWidth="1" min="23" max="23"/>
    <col width="22" customWidth="1" min="24" max="24"/>
    <col width="16.33203125" customWidth="1" min="25" max="25"/>
    <col width="18" customWidth="1" min="26" max="26"/>
    <col width="16.5" customWidth="1" min="27" max="27"/>
  </cols>
  <sheetData>
    <row r="1">
      <c r="A1" s="14" t="inlineStr">
        <is>
          <t>Liquid Composition (aqueous)</t>
        </is>
      </c>
      <c r="B1" s="14" t="inlineStr">
        <is>
          <t>Gas, Flow Rate (sccm)</t>
        </is>
      </c>
      <c r="C1" s="14" t="inlineStr">
        <is>
          <t>HVDC Set Current (mA)</t>
        </is>
      </c>
      <c r="D1" s="14" t="inlineStr">
        <is>
          <t>Duty Cycle (%)</t>
        </is>
      </c>
      <c r="E1" s="14" t="inlineStr">
        <is>
          <t>Frequency (Hz)</t>
        </is>
      </c>
      <c r="F1" s="14" t="inlineStr">
        <is>
          <t>Peak Current (mA)</t>
        </is>
      </c>
      <c r="G1" s="14" t="inlineStr">
        <is>
          <t>Peak Current Err (mA, 95%)</t>
        </is>
      </c>
      <c r="H1" s="14" t="inlineStr">
        <is>
          <t>Rel Peak Current Err (95%)</t>
        </is>
      </c>
      <c r="I1" s="14" t="inlineStr">
        <is>
          <t>Avg Current (mA)</t>
        </is>
      </c>
      <c r="J1" s="14" t="inlineStr">
        <is>
          <t>Height (mm)</t>
        </is>
      </c>
      <c r="K1" s="14" t="inlineStr">
        <is>
          <t>Area (mm^2)</t>
        </is>
      </c>
      <c r="L1" s="14" t="inlineStr">
        <is>
          <t>Area Err (mm^2, 95%)</t>
        </is>
      </c>
      <c r="M1" s="14" t="inlineStr">
        <is>
          <t>Rel Area Err (95%)</t>
        </is>
      </c>
      <c r="N1" s="14" t="inlineStr">
        <is>
          <t>Peak Current Density (mA/mm^2)</t>
        </is>
      </c>
      <c r="O1" s="14" t="inlineStr">
        <is>
          <t>Peak Current Density Err (mA/mm^2)</t>
        </is>
      </c>
      <c r="P1" s="14" t="inlineStr">
        <is>
          <t>On Time (s)</t>
        </is>
      </c>
      <c r="Q1" s="14" t="inlineStr">
        <is>
          <t>Sub Rate Const (m^3/mol-s)</t>
        </is>
      </c>
      <c r="R1" s="14" t="inlineStr">
        <is>
          <t>1st-Order Recomb Const (1/s)</t>
        </is>
      </c>
      <c r="S1" s="14" t="inlineStr">
        <is>
          <t>2nd-Order Recomb Const (m^3/mol-s)</t>
        </is>
      </c>
      <c r="T1" s="14" t="inlineStr">
        <is>
          <t>Sub Diffusivity (m^2/s)</t>
        </is>
      </c>
      <c r="U1" s="14" t="inlineStr">
        <is>
          <t>e- Diffusivity (m^2/s)</t>
        </is>
      </c>
      <c r="V1" s="2" t="inlineStr">
        <is>
          <t>Effective Recomb Const (1/s)</t>
        </is>
      </c>
      <c r="W1" s="2" t="inlineStr">
        <is>
          <t>Max Inst. Sel (%)</t>
        </is>
      </c>
      <c r="X1" s="2" t="inlineStr">
        <is>
          <t>20% Depletion Time (s)</t>
        </is>
      </c>
      <c r="Y1" s="2" t="inlineStr">
        <is>
          <t>Allowed/On Time</t>
        </is>
      </c>
      <c r="Z1" s="2" t="inlineStr">
        <is>
          <t>Degree Depletion</t>
        </is>
      </c>
      <c r="AA1" s="2" t="inlineStr">
        <is>
          <t>Degree Recovery</t>
        </is>
      </c>
    </row>
    <row r="2" customFormat="1" s="12">
      <c r="A2" s="15" t="inlineStr">
        <is>
          <t>200 mM NaClO4</t>
        </is>
      </c>
      <c r="B2" s="15" t="inlineStr">
        <is>
          <t>Ar, 100</t>
        </is>
      </c>
      <c r="C2" s="16" t="n">
        <v>1.3</v>
      </c>
      <c r="D2" s="16" t="n">
        <v>5</v>
      </c>
      <c r="E2" s="17" t="n">
        <v>1000</v>
      </c>
      <c r="F2" s="16" t="n">
        <v>17.3</v>
      </c>
      <c r="G2" s="15" t="n">
        <v>0.8</v>
      </c>
      <c r="H2" s="29">
        <f>G2/F2</f>
        <v/>
      </c>
      <c r="I2" s="16" t="n">
        <v>0.6</v>
      </c>
      <c r="J2" s="18" t="n">
        <v>1.9857</v>
      </c>
      <c r="K2" s="18" t="n">
        <v>0.0785</v>
      </c>
      <c r="L2" s="15" t="n">
        <v>0.0035</v>
      </c>
      <c r="M2" s="29">
        <f>L2/K2</f>
        <v/>
      </c>
      <c r="N2" s="15">
        <f>F2/K2</f>
        <v/>
      </c>
      <c r="O2" s="15" t="n"/>
      <c r="P2" s="17">
        <f>(1/E2)*(D2/100)</f>
        <v/>
      </c>
      <c r="Q2" s="17" t="n">
        <v>1500000</v>
      </c>
      <c r="R2" s="17" t="n">
        <v>1000</v>
      </c>
      <c r="S2" s="17" t="n">
        <v>5500000</v>
      </c>
      <c r="T2" s="17" t="n">
        <v>1.1e-09</v>
      </c>
      <c r="U2" s="17" t="n">
        <v>4.9e-09</v>
      </c>
      <c r="V2" s="17">
        <f>R2+(S2^2*(N2*1000)^2/((96485^2)*U2))^(1/3)</f>
        <v/>
      </c>
      <c r="W2" s="25">
        <f>(V2/(Q2*20) + 1)^-1</f>
        <v/>
      </c>
      <c r="X2" s="17">
        <f>((3.14/4)*(96485^2)*U2/((N2*1000)^2))*(20-0.25*V2/Q2)^2</f>
        <v/>
      </c>
      <c r="Y2" s="17">
        <f>X2/P2</f>
        <v/>
      </c>
      <c r="Z2" s="23">
        <f>SQRT(1/Y2)</f>
        <v/>
      </c>
      <c r="AA2" s="27">
        <f>1 - SQRT(100/D2) + SQRT(100/D2 - 1)</f>
        <v/>
      </c>
    </row>
    <row r="3" customFormat="1" s="12">
      <c r="A3" s="15" t="inlineStr">
        <is>
          <t>200 mM NaClO4</t>
        </is>
      </c>
      <c r="B3" s="15" t="inlineStr">
        <is>
          <t>Ar, 100</t>
        </is>
      </c>
      <c r="C3" s="16" t="n">
        <v>1.8</v>
      </c>
      <c r="D3" s="16" t="n">
        <v>10</v>
      </c>
      <c r="E3" s="17" t="n">
        <v>1000</v>
      </c>
      <c r="F3" s="16" t="n">
        <v>15</v>
      </c>
      <c r="G3" s="15" t="n">
        <v>0.6</v>
      </c>
      <c r="H3" s="29">
        <f>G3/F3</f>
        <v/>
      </c>
      <c r="I3" s="16" t="n">
        <v>1.3</v>
      </c>
      <c r="J3" s="18" t="n">
        <v>2.0185</v>
      </c>
      <c r="K3" s="18" t="n">
        <v>0.0707</v>
      </c>
      <c r="L3" s="15" t="n">
        <v>0.0027</v>
      </c>
      <c r="M3" s="29">
        <f>L3/K3</f>
        <v/>
      </c>
      <c r="N3" s="15">
        <f>F3/K3</f>
        <v/>
      </c>
      <c r="O3" s="15" t="n"/>
      <c r="P3" s="17">
        <f>(1/E3)*(D3/100)</f>
        <v/>
      </c>
      <c r="Q3" s="17" t="n">
        <v>1500000</v>
      </c>
      <c r="R3" s="17" t="n">
        <v>1000</v>
      </c>
      <c r="S3" s="17" t="n">
        <v>5500000</v>
      </c>
      <c r="T3" s="17" t="n">
        <v>1.1e-09</v>
      </c>
      <c r="U3" s="17" t="n">
        <v>4.9e-09</v>
      </c>
      <c r="V3" s="17">
        <f>R3+(S3^2*(N3*1000)^2/((96485^2)*U3))^(1/3)</f>
        <v/>
      </c>
      <c r="W3" s="25">
        <f>(V3/(Q3*20) + 1)^-1</f>
        <v/>
      </c>
      <c r="X3" s="17">
        <f>((3.14/4)*(96485^2)*U3/((N3*1000)^2))*(20-0.25*V3/Q3)^2</f>
        <v/>
      </c>
      <c r="Y3" s="17">
        <f>X3/P3</f>
        <v/>
      </c>
      <c r="Z3" s="23">
        <f>SQRT(1/Y3)</f>
        <v/>
      </c>
      <c r="AA3" s="27">
        <f>1 - SQRT(100/D3) + SQRT(100/D3 - 1)</f>
        <v/>
      </c>
    </row>
    <row r="4" customFormat="1" s="12">
      <c r="A4" s="15" t="inlineStr">
        <is>
          <t>200 mM NaClO4</t>
        </is>
      </c>
      <c r="B4" s="15" t="inlineStr">
        <is>
          <t>Ar, 100</t>
        </is>
      </c>
      <c r="C4" s="16" t="n">
        <v>4.8</v>
      </c>
      <c r="D4" s="16" t="n">
        <v>50</v>
      </c>
      <c r="E4" s="17" t="n">
        <v>1000</v>
      </c>
      <c r="F4" s="16" t="n">
        <v>14.2</v>
      </c>
      <c r="G4" s="15" t="n">
        <v>0.3</v>
      </c>
      <c r="H4" s="29">
        <f>G4/F4</f>
        <v/>
      </c>
      <c r="I4" s="16" t="n">
        <v>7</v>
      </c>
      <c r="J4" s="18" t="n">
        <v>1.898</v>
      </c>
      <c r="K4" s="18" t="n">
        <v>0.21</v>
      </c>
      <c r="L4" s="15" t="n">
        <v>0.0062</v>
      </c>
      <c r="M4" s="29">
        <f>L4/K4</f>
        <v/>
      </c>
      <c r="N4" s="15">
        <f>F4/K4</f>
        <v/>
      </c>
      <c r="O4" s="15" t="n"/>
      <c r="P4" s="17">
        <f>(1/E4)*(D4/100)</f>
        <v/>
      </c>
      <c r="Q4" s="17" t="n">
        <v>1500000</v>
      </c>
      <c r="R4" s="17" t="n">
        <v>1000</v>
      </c>
      <c r="S4" s="17" t="n">
        <v>5500000</v>
      </c>
      <c r="T4" s="17" t="n">
        <v>1.1e-09</v>
      </c>
      <c r="U4" s="17" t="n">
        <v>4.9e-09</v>
      </c>
      <c r="V4" s="17">
        <f>R4+(S4^2*(N4*1000)^2/((96485^2)*U4))^(1/3)</f>
        <v/>
      </c>
      <c r="W4" s="25">
        <f>(V4/(Q4*20) + 1)^-1</f>
        <v/>
      </c>
      <c r="X4" s="17">
        <f>((3.14/4)*(96485^2)*U4/((N4*1000)^2))*(20-0.25*V4/Q4)^2</f>
        <v/>
      </c>
      <c r="Y4" s="17">
        <f>X4/P4</f>
        <v/>
      </c>
      <c r="Z4" s="23">
        <f>SQRT(1/Y4)</f>
        <v/>
      </c>
      <c r="AA4" s="27">
        <f>1 - SQRT(100/D4) + SQRT(100/D4 - 1)</f>
        <v/>
      </c>
    </row>
    <row r="5" customFormat="1" s="12">
      <c r="A5" s="15" t="inlineStr">
        <is>
          <t>200 mM NaClO4</t>
        </is>
      </c>
      <c r="B5" s="15" t="inlineStr">
        <is>
          <t>Ar, 100</t>
        </is>
      </c>
      <c r="C5" s="16" t="n">
        <v>8</v>
      </c>
      <c r="D5" s="16" t="n">
        <v>50</v>
      </c>
      <c r="E5" s="17" t="n">
        <v>1000</v>
      </c>
      <c r="F5" s="16" t="n">
        <v>17.1</v>
      </c>
      <c r="G5" s="15" t="n">
        <v>0.3</v>
      </c>
      <c r="H5" s="29">
        <f>G5/F5</f>
        <v/>
      </c>
      <c r="I5" s="16" t="n">
        <v>8.4</v>
      </c>
      <c r="J5" s="18" t="n">
        <v>1.9036</v>
      </c>
      <c r="K5" s="18" t="n">
        <v>0.2445</v>
      </c>
      <c r="L5" s="15" t="n">
        <v>0.0083</v>
      </c>
      <c r="M5" s="29">
        <f>L5/K5</f>
        <v/>
      </c>
      <c r="N5" s="15">
        <f>F5/K5</f>
        <v/>
      </c>
      <c r="O5" s="15" t="n"/>
      <c r="P5" s="17">
        <f>(1/E5)*(D5/100)</f>
        <v/>
      </c>
      <c r="Q5" s="17" t="n">
        <v>1500000</v>
      </c>
      <c r="R5" s="17" t="n">
        <v>1000</v>
      </c>
      <c r="S5" s="17" t="n">
        <v>5500000</v>
      </c>
      <c r="T5" s="17" t="n">
        <v>1.1e-09</v>
      </c>
      <c r="U5" s="17" t="n">
        <v>4.9e-09</v>
      </c>
      <c r="V5" s="17">
        <f>R5+(S5^2*(N5*1000)^2/((96485^2)*U5))^(1/3)</f>
        <v/>
      </c>
      <c r="W5" s="25">
        <f>(V5/(Q5*20) + 1)^-1</f>
        <v/>
      </c>
      <c r="X5" s="17">
        <f>((3.14/4)*(96485^2)*U5/((N5*1000)^2))*(20-0.25*V5/Q5)^2</f>
        <v/>
      </c>
      <c r="Y5" s="17">
        <f>X5/P5</f>
        <v/>
      </c>
      <c r="Z5" s="23">
        <f>SQRT(1/Y5)</f>
        <v/>
      </c>
      <c r="AA5" s="27">
        <f>1 - SQRT(100/D5) + SQRT(100/D5 - 1)</f>
        <v/>
      </c>
    </row>
    <row r="6" customFormat="1" s="12">
      <c r="A6" s="15" t="inlineStr">
        <is>
          <t>200 mM NaClO4</t>
        </is>
      </c>
      <c r="B6" s="15" t="inlineStr">
        <is>
          <t>Ar, 100</t>
        </is>
      </c>
      <c r="C6" s="16" t="n">
        <v>2.4</v>
      </c>
      <c r="D6" s="16" t="n">
        <v>5</v>
      </c>
      <c r="E6" s="17" t="n">
        <v>2000</v>
      </c>
      <c r="F6" s="16" t="n">
        <v>22.2</v>
      </c>
      <c r="G6" s="15" t="n">
        <v>1.2</v>
      </c>
      <c r="H6" s="29">
        <f>G6/F6</f>
        <v/>
      </c>
      <c r="I6" s="16" t="n">
        <v>0.9</v>
      </c>
      <c r="J6" s="18" t="n">
        <v>1.9774</v>
      </c>
      <c r="K6" s="18" t="n">
        <v>0.1183</v>
      </c>
      <c r="L6" s="15" t="n">
        <v>0.0044</v>
      </c>
      <c r="M6" s="29">
        <f>L6/K6</f>
        <v/>
      </c>
      <c r="N6" s="15">
        <f>F6/K6</f>
        <v/>
      </c>
      <c r="O6" s="15" t="n"/>
      <c r="P6" s="17">
        <f>(1/E6)*(D6/100)</f>
        <v/>
      </c>
      <c r="Q6" s="17" t="n">
        <v>1500000</v>
      </c>
      <c r="R6" s="17" t="n">
        <v>1000</v>
      </c>
      <c r="S6" s="17" t="n">
        <v>5500000</v>
      </c>
      <c r="T6" s="17" t="n">
        <v>1.1e-09</v>
      </c>
      <c r="U6" s="17" t="n">
        <v>4.9e-09</v>
      </c>
      <c r="V6" s="17">
        <f>R6+(S6^2*(N6*1000)^2/((96485^2)*U6))^(1/3)</f>
        <v/>
      </c>
      <c r="W6" s="25">
        <f>(V6/(Q6*20) + 1)^-1</f>
        <v/>
      </c>
      <c r="X6" s="17">
        <f>((3.14/4)*(96485^2)*U6/((N6*1000)^2))*(20-0.25*V6/Q6)^2</f>
        <v/>
      </c>
      <c r="Y6" s="17">
        <f>X6/P6</f>
        <v/>
      </c>
      <c r="Z6" s="23">
        <f>SQRT(1/Y6)</f>
        <v/>
      </c>
      <c r="AA6" s="27">
        <f>1 - SQRT(100/D6) + SQRT(100/D6 - 1)</f>
        <v/>
      </c>
    </row>
    <row r="7" customFormat="1" s="12">
      <c r="A7" s="15" t="inlineStr">
        <is>
          <t>200 mM NaClO4</t>
        </is>
      </c>
      <c r="B7" s="15" t="inlineStr">
        <is>
          <t>Ar, 100</t>
        </is>
      </c>
      <c r="C7" s="16" t="n">
        <v>3.5</v>
      </c>
      <c r="D7" s="16" t="n">
        <v>10</v>
      </c>
      <c r="E7" s="17" t="n">
        <v>2000</v>
      </c>
      <c r="F7" s="16" t="n">
        <v>23.1</v>
      </c>
      <c r="G7" s="15" t="n">
        <v>0.9</v>
      </c>
      <c r="H7" s="29">
        <f>G7/F7</f>
        <v/>
      </c>
      <c r="I7" s="16" t="n">
        <v>2.1</v>
      </c>
      <c r="J7" s="18" t="n">
        <v>2.0148</v>
      </c>
      <c r="K7" s="18" t="n">
        <v>0.1041</v>
      </c>
      <c r="L7" s="15" t="n">
        <v>0.0032</v>
      </c>
      <c r="M7" s="29">
        <f>L7/K7</f>
        <v/>
      </c>
      <c r="N7" s="15">
        <f>F7/K7</f>
        <v/>
      </c>
      <c r="O7" s="15" t="n"/>
      <c r="P7" s="17">
        <f>(1/E7)*(D7/100)</f>
        <v/>
      </c>
      <c r="Q7" s="17" t="n">
        <v>1500000</v>
      </c>
      <c r="R7" s="17" t="n">
        <v>1000</v>
      </c>
      <c r="S7" s="17" t="n">
        <v>5500000</v>
      </c>
      <c r="T7" s="17" t="n">
        <v>1.1e-09</v>
      </c>
      <c r="U7" s="17" t="n">
        <v>4.9e-09</v>
      </c>
      <c r="V7" s="17">
        <f>R7+(S7^2*(N7*1000)^2/((96485^2)*U7))^(1/3)</f>
        <v/>
      </c>
      <c r="W7" s="25">
        <f>(V7/(Q7*20) + 1)^-1</f>
        <v/>
      </c>
      <c r="X7" s="17">
        <f>((3.14/4)*(96485^2)*U7/((N7*1000)^2))*(20-0.25*V7/Q7)^2</f>
        <v/>
      </c>
      <c r="Y7" s="17">
        <f>X7/P7</f>
        <v/>
      </c>
      <c r="Z7" s="23">
        <f>SQRT(1/Y7)</f>
        <v/>
      </c>
      <c r="AA7" s="27">
        <f>1 - SQRT(100/D7) + SQRT(100/D7 - 1)</f>
        <v/>
      </c>
    </row>
    <row r="8" customFormat="1" s="12">
      <c r="A8" s="15" t="inlineStr">
        <is>
          <t>200 mM NaClO4</t>
        </is>
      </c>
      <c r="B8" s="15" t="inlineStr">
        <is>
          <t>Ar, 100</t>
        </is>
      </c>
      <c r="C8" s="16" t="n">
        <v>2.8</v>
      </c>
      <c r="D8" s="16" t="n">
        <v>15</v>
      </c>
      <c r="E8" s="17" t="n">
        <v>2000</v>
      </c>
      <c r="F8" s="16" t="n">
        <v>14.9</v>
      </c>
      <c r="G8" s="15" t="n">
        <v>0.6</v>
      </c>
      <c r="H8" s="29">
        <f>G8/F8</f>
        <v/>
      </c>
      <c r="I8" s="16" t="n">
        <v>2.1</v>
      </c>
      <c r="J8" s="18" t="n">
        <v>2.0097</v>
      </c>
      <c r="K8" s="18" t="n">
        <v>0.06279999999999999</v>
      </c>
      <c r="L8" s="15" t="n">
        <v>0.0024</v>
      </c>
      <c r="M8" s="29">
        <f>L8/K8</f>
        <v/>
      </c>
      <c r="N8" s="15">
        <f>F8/K8</f>
        <v/>
      </c>
      <c r="O8" s="15" t="n"/>
      <c r="P8" s="17">
        <f>(1/E8)*(D8/100)</f>
        <v/>
      </c>
      <c r="Q8" s="17" t="n">
        <v>1500000</v>
      </c>
      <c r="R8" s="17" t="n">
        <v>1000</v>
      </c>
      <c r="S8" s="17" t="n">
        <v>5500000</v>
      </c>
      <c r="T8" s="17" t="n">
        <v>1.1e-09</v>
      </c>
      <c r="U8" s="17" t="n">
        <v>4.9e-09</v>
      </c>
      <c r="V8" s="17">
        <f>R8+(S8^2*(N8*1000)^2/((96485^2)*U8))^(1/3)</f>
        <v/>
      </c>
      <c r="W8" s="25">
        <f>(V8/(Q8*20) + 1)^-1</f>
        <v/>
      </c>
      <c r="X8" s="17">
        <f>((3.14/4)*(96485^2)*U8/((N8*1000)^2))*(20-0.25*V8/Q8)^2</f>
        <v/>
      </c>
      <c r="Y8" s="17">
        <f>X8/P8</f>
        <v/>
      </c>
      <c r="Z8" s="23">
        <f>SQRT(1/Y8)</f>
        <v/>
      </c>
      <c r="AA8" s="27">
        <f>1 - SQRT(100/D8) + SQRT(100/D8 - 1)</f>
        <v/>
      </c>
    </row>
    <row r="9" customFormat="1" s="12">
      <c r="A9" s="15" t="inlineStr">
        <is>
          <t>200 mM NaClO4</t>
        </is>
      </c>
      <c r="B9" s="15" t="inlineStr">
        <is>
          <t>Ar, 100</t>
        </is>
      </c>
      <c r="C9" s="16" t="n">
        <v>5</v>
      </c>
      <c r="D9" s="16" t="n">
        <v>15</v>
      </c>
      <c r="E9" s="17" t="n">
        <v>2000</v>
      </c>
      <c r="F9" s="16" t="n">
        <v>25</v>
      </c>
      <c r="G9" s="15" t="n">
        <v>0.8</v>
      </c>
      <c r="H9" s="29">
        <f>G9/F9</f>
        <v/>
      </c>
      <c r="I9" s="16" t="n">
        <v>3.6</v>
      </c>
      <c r="J9" s="18" t="n">
        <v>2.0192</v>
      </c>
      <c r="K9" s="18" t="n">
        <v>0.1565</v>
      </c>
      <c r="L9" s="15" t="n">
        <v>0.0033</v>
      </c>
      <c r="M9" s="29">
        <f>L9/K9</f>
        <v/>
      </c>
      <c r="N9" s="15">
        <f>F9/K9</f>
        <v/>
      </c>
      <c r="O9" s="15" t="n"/>
      <c r="P9" s="17">
        <f>(1/E9)*(D9/100)</f>
        <v/>
      </c>
      <c r="Q9" s="17" t="n">
        <v>1500000</v>
      </c>
      <c r="R9" s="17" t="n">
        <v>1000</v>
      </c>
      <c r="S9" s="17" t="n">
        <v>5500000</v>
      </c>
      <c r="T9" s="17" t="n">
        <v>1.1e-09</v>
      </c>
      <c r="U9" s="17" t="n">
        <v>4.9e-09</v>
      </c>
      <c r="V9" s="17">
        <f>R9+(S9^2*(N9*1000)^2/((96485^2)*U9))^(1/3)</f>
        <v/>
      </c>
      <c r="W9" s="25">
        <f>(V9/(Q9*20) + 1)^-1</f>
        <v/>
      </c>
      <c r="X9" s="17">
        <f>((3.14/4)*(96485^2)*U9/((N9*1000)^2))*(20-0.25*V9/Q9)^2</f>
        <v/>
      </c>
      <c r="Y9" s="17">
        <f>X9/P9</f>
        <v/>
      </c>
      <c r="Z9" s="23">
        <f>SQRT(1/Y9)</f>
        <v/>
      </c>
      <c r="AA9" s="27">
        <f>1 - SQRT(100/D9) + SQRT(100/D9 - 1)</f>
        <v/>
      </c>
    </row>
    <row r="10" customFormat="1" s="12">
      <c r="A10" s="15" t="inlineStr">
        <is>
          <t>200 mM NaClO4</t>
        </is>
      </c>
      <c r="B10" s="15" t="inlineStr">
        <is>
          <t>Ar, 100</t>
        </is>
      </c>
      <c r="C10" s="16" t="n">
        <v>3.4</v>
      </c>
      <c r="D10" s="16" t="n">
        <v>5</v>
      </c>
      <c r="E10" s="17" t="n">
        <v>4000</v>
      </c>
      <c r="F10" s="16" t="n">
        <v>20.8</v>
      </c>
      <c r="G10" s="15" t="n">
        <v>1.5</v>
      </c>
      <c r="H10" s="29">
        <f>G10/F10</f>
        <v/>
      </c>
      <c r="I10" s="16" t="n">
        <v>0.8</v>
      </c>
      <c r="J10" s="18" t="n">
        <v>1.9913</v>
      </c>
      <c r="K10" s="18" t="n">
        <v>0.2143</v>
      </c>
      <c r="L10" s="15" t="n">
        <v>0.0074</v>
      </c>
      <c r="M10" s="29">
        <f>L10/K10</f>
        <v/>
      </c>
      <c r="N10" s="15">
        <f>F10/K10</f>
        <v/>
      </c>
      <c r="O10" s="15" t="n"/>
      <c r="P10" s="17">
        <f>(1/E10)*(D10/100)</f>
        <v/>
      </c>
      <c r="Q10" s="17" t="n">
        <v>1500000</v>
      </c>
      <c r="R10" s="17" t="n">
        <v>1000</v>
      </c>
      <c r="S10" s="17" t="n">
        <v>5500000</v>
      </c>
      <c r="T10" s="17" t="n">
        <v>1.1e-09</v>
      </c>
      <c r="U10" s="17" t="n">
        <v>4.9e-09</v>
      </c>
      <c r="V10" s="17">
        <f>R10+(S10^2*(N10*1000)^2/((96485^2)*U10))^(1/3)</f>
        <v/>
      </c>
      <c r="W10" s="25">
        <f>(V10/(Q10*20) + 1)^-1</f>
        <v/>
      </c>
      <c r="X10" s="17">
        <f>((3.14/4)*(96485^2)*U10/((N10*1000)^2))*(20-0.25*V10/Q10)^2</f>
        <v/>
      </c>
      <c r="Y10" s="17">
        <f>X10/P10</f>
        <v/>
      </c>
      <c r="Z10" s="23">
        <f>SQRT(1/Y10)</f>
        <v/>
      </c>
      <c r="AA10" s="27">
        <f>1 - SQRT(100/D10) + SQRT(100/D10 - 1)</f>
        <v/>
      </c>
    </row>
    <row r="11" customFormat="1" s="12">
      <c r="A11" s="15" t="inlineStr">
        <is>
          <t>200 mM NaClO4</t>
        </is>
      </c>
      <c r="B11" s="15" t="inlineStr">
        <is>
          <t>Ar, 100</t>
        </is>
      </c>
      <c r="C11" s="16" t="n">
        <v>3.5</v>
      </c>
      <c r="D11" s="16" t="n">
        <v>10</v>
      </c>
      <c r="E11" s="17" t="n">
        <v>4000</v>
      </c>
      <c r="F11" s="16" t="n">
        <v>16.7</v>
      </c>
      <c r="G11" s="15" t="n">
        <v>0.9</v>
      </c>
      <c r="H11" s="29">
        <f>G11/F11</f>
        <v/>
      </c>
      <c r="I11" s="16" t="n">
        <v>1.5</v>
      </c>
      <c r="J11" s="18" t="n">
        <v>2.0426</v>
      </c>
      <c r="K11" s="18" t="n">
        <v>0.1155</v>
      </c>
      <c r="L11" s="18" t="n">
        <v>0.0041</v>
      </c>
      <c r="M11" s="29">
        <f>L11/K11</f>
        <v/>
      </c>
      <c r="N11" s="15">
        <f>F11/K11</f>
        <v/>
      </c>
      <c r="O11" s="15" t="n"/>
      <c r="P11" s="17">
        <f>(1/E11)*(D11/100)</f>
        <v/>
      </c>
      <c r="Q11" s="17" t="n">
        <v>1500000</v>
      </c>
      <c r="R11" s="17" t="n">
        <v>1000</v>
      </c>
      <c r="S11" s="17" t="n">
        <v>5500000</v>
      </c>
      <c r="T11" s="17" t="n">
        <v>1.1e-09</v>
      </c>
      <c r="U11" s="17" t="n">
        <v>4.9e-09</v>
      </c>
      <c r="V11" s="17">
        <f>R11+(S11^2*(N11*1000)^2/((96485^2)*U11))^(1/3)</f>
        <v/>
      </c>
      <c r="W11" s="25">
        <f>(V11/(Q11*20) + 1)^-1</f>
        <v/>
      </c>
      <c r="X11" s="17">
        <f>((3.14/4)*(96485^2)*U11/((N11*1000)^2))*(20-0.25*V11/Q11)^2</f>
        <v/>
      </c>
      <c r="Y11" s="17">
        <f>X11/P11</f>
        <v/>
      </c>
      <c r="Z11" s="23">
        <f>SQRT(1/Y11)</f>
        <v/>
      </c>
      <c r="AA11" s="27">
        <f>1 - SQRT(100/D11) + SQRT(100/D11 - 1)</f>
        <v/>
      </c>
    </row>
    <row r="12" customFormat="1" s="12">
      <c r="A12" s="15" t="inlineStr">
        <is>
          <t>200 mM NaClO4</t>
        </is>
      </c>
      <c r="B12" s="15" t="inlineStr">
        <is>
          <t>Ar, 100</t>
        </is>
      </c>
      <c r="C12" s="16" t="n">
        <v>3.4</v>
      </c>
      <c r="D12" s="16" t="n">
        <v>5</v>
      </c>
      <c r="E12" s="17" t="n">
        <v>5000</v>
      </c>
      <c r="F12" s="16" t="n">
        <v>17.4</v>
      </c>
      <c r="G12" s="15" t="n">
        <v>1.5</v>
      </c>
      <c r="H12" s="29">
        <f>G12/F12</f>
        <v/>
      </c>
      <c r="I12" s="16" t="n">
        <v>0.7</v>
      </c>
      <c r="J12" s="18" t="n">
        <v>2.0515</v>
      </c>
      <c r="K12" s="18" t="n">
        <v>0.2011</v>
      </c>
      <c r="L12" s="18" t="n">
        <v>0.0055</v>
      </c>
      <c r="M12" s="29">
        <f>L12/K12</f>
        <v/>
      </c>
      <c r="N12" s="15">
        <f>F12/K12</f>
        <v/>
      </c>
      <c r="O12" s="15" t="n"/>
      <c r="P12" s="17">
        <f>(1/E12)*(D12/100)</f>
        <v/>
      </c>
      <c r="Q12" s="17" t="n">
        <v>1500000</v>
      </c>
      <c r="R12" s="17" t="n">
        <v>1000</v>
      </c>
      <c r="S12" s="17" t="n">
        <v>5500000</v>
      </c>
      <c r="T12" s="17" t="n">
        <v>1.1e-09</v>
      </c>
      <c r="U12" s="17" t="n">
        <v>4.9e-09</v>
      </c>
      <c r="V12" s="17">
        <f>R12+(S12^2*(N12*1000)^2/((96485^2)*U12))^(1/3)</f>
        <v/>
      </c>
      <c r="W12" s="25">
        <f>(V12/(Q12*20) + 1)^-1</f>
        <v/>
      </c>
      <c r="X12" s="17">
        <f>((3.14/4)*(96485^2)*U12/((N12*1000)^2))*(20-0.25*V12/Q12)^2</f>
        <v/>
      </c>
      <c r="Y12" s="17">
        <f>X12/P12</f>
        <v/>
      </c>
      <c r="Z12" s="23">
        <f>SQRT(1/Y12)</f>
        <v/>
      </c>
      <c r="AA12" s="27">
        <f>1 - SQRT(100/D12) + SQRT(100/D12 - 1)</f>
        <v/>
      </c>
    </row>
    <row r="13" customFormat="1" s="12">
      <c r="A13" s="15" t="inlineStr">
        <is>
          <t>200 mM NaClO4</t>
        </is>
      </c>
      <c r="B13" s="15" t="inlineStr">
        <is>
          <t>Ar, 100</t>
        </is>
      </c>
      <c r="C13" s="16" t="n">
        <v>3.5</v>
      </c>
      <c r="D13" s="16" t="n">
        <v>10</v>
      </c>
      <c r="E13" s="17" t="n">
        <v>5000</v>
      </c>
      <c r="F13" s="16" t="n">
        <v>14.7</v>
      </c>
      <c r="G13" s="15" t="n">
        <v>1.1</v>
      </c>
      <c r="H13" s="29">
        <f>G13/F13</f>
        <v/>
      </c>
      <c r="I13" s="16" t="n">
        <v>1.3</v>
      </c>
      <c r="J13" s="18" t="n">
        <v>2.0376</v>
      </c>
      <c r="K13" s="18" t="n">
        <v>0.1012</v>
      </c>
      <c r="L13" s="18" t="n">
        <v>0.0057</v>
      </c>
      <c r="M13" s="29">
        <f>L13/K13</f>
        <v/>
      </c>
      <c r="N13" s="15">
        <f>F13/K13</f>
        <v/>
      </c>
      <c r="O13" s="15" t="n"/>
      <c r="P13" s="17">
        <f>(1/E13)*(D13/100)</f>
        <v/>
      </c>
      <c r="Q13" s="17" t="n">
        <v>1500000</v>
      </c>
      <c r="R13" s="17" t="n">
        <v>1000</v>
      </c>
      <c r="S13" s="17" t="n">
        <v>5500000</v>
      </c>
      <c r="T13" s="17" t="n">
        <v>1.1e-09</v>
      </c>
      <c r="U13" s="17" t="n">
        <v>4.9e-09</v>
      </c>
      <c r="V13" s="17">
        <f>R13+(S13^2*(N13*1000)^2/((96485^2)*U13))^(1/3)</f>
        <v/>
      </c>
      <c r="W13" s="25">
        <f>(V13/(Q13*20) + 1)^-1</f>
        <v/>
      </c>
      <c r="X13" s="17">
        <f>((3.14/4)*(96485^2)*U13/((N13*1000)^2))*(20-0.25*V13/Q13)^2</f>
        <v/>
      </c>
      <c r="Y13" s="17">
        <f>X13/P13</f>
        <v/>
      </c>
      <c r="Z13" s="23">
        <f>SQRT(1/Y13)</f>
        <v/>
      </c>
      <c r="AA13" s="27">
        <f>1 - SQRT(100/D13) + SQRT(100/D13 - 1)</f>
        <v/>
      </c>
    </row>
    <row r="14" customFormat="1" s="12">
      <c r="A14" s="15" t="inlineStr">
        <is>
          <t>200 mM NaClO4</t>
        </is>
      </c>
      <c r="B14" s="15" t="inlineStr">
        <is>
          <t>Ar, 100</t>
        </is>
      </c>
      <c r="C14" s="16" t="n">
        <v>3.8</v>
      </c>
      <c r="D14" s="16" t="n">
        <v>15</v>
      </c>
      <c r="E14" s="17" t="n">
        <v>5000</v>
      </c>
      <c r="F14" s="16" t="n">
        <v>13.4</v>
      </c>
      <c r="G14" s="15" t="n">
        <v>0.8</v>
      </c>
      <c r="H14" s="29">
        <f>G14/F14</f>
        <v/>
      </c>
      <c r="I14" s="16" t="n">
        <v>1.8</v>
      </c>
      <c r="J14" s="18" t="n">
        <v>2.0287</v>
      </c>
      <c r="K14" s="18" t="n">
        <v>0.0655</v>
      </c>
      <c r="L14" s="18" t="n">
        <v>0.0028</v>
      </c>
      <c r="M14" s="29">
        <f>L14/K14</f>
        <v/>
      </c>
      <c r="N14" s="15">
        <f>F14/K14</f>
        <v/>
      </c>
      <c r="O14" s="15" t="n"/>
      <c r="P14" s="17">
        <f>(1/E14)*(D14/100)</f>
        <v/>
      </c>
      <c r="Q14" s="17" t="n">
        <v>1500000</v>
      </c>
      <c r="R14" s="17" t="n">
        <v>1000</v>
      </c>
      <c r="S14" s="17" t="n">
        <v>5500000</v>
      </c>
      <c r="T14" s="17" t="n">
        <v>1.1e-09</v>
      </c>
      <c r="U14" s="17" t="n">
        <v>4.9e-09</v>
      </c>
      <c r="V14" s="17">
        <f>R14+(S14^2*(N14*1000)^2/((96485^2)*U14))^(1/3)</f>
        <v/>
      </c>
      <c r="W14" s="25">
        <f>(V14/(Q14*20) + 1)^-1</f>
        <v/>
      </c>
      <c r="X14" s="17">
        <f>((3.14/4)*(96485^2)*U14/((N14*1000)^2))*(20-0.25*V14/Q14)^2</f>
        <v/>
      </c>
      <c r="Y14" s="17">
        <f>X14/P14</f>
        <v/>
      </c>
      <c r="Z14" s="23">
        <f>SQRT(1/Y14)</f>
        <v/>
      </c>
      <c r="AA14" s="27">
        <f>1 - SQRT(100/D14) + SQRT(100/D14 - 1)</f>
        <v/>
      </c>
    </row>
    <row r="15" customFormat="1" s="12">
      <c r="A15" s="15" t="inlineStr">
        <is>
          <t>200 mM NaClO4</t>
        </is>
      </c>
      <c r="B15" s="15" t="inlineStr">
        <is>
          <t>Ar, 100</t>
        </is>
      </c>
      <c r="C15" s="16" t="n">
        <v>4.4</v>
      </c>
      <c r="D15" s="16" t="n">
        <v>15</v>
      </c>
      <c r="E15" s="17" t="n">
        <v>6000</v>
      </c>
      <c r="F15" s="16" t="n">
        <v>14</v>
      </c>
      <c r="G15" s="15" t="n">
        <v>0.9</v>
      </c>
      <c r="H15" s="29">
        <f>G15/F15</f>
        <v/>
      </c>
      <c r="I15" s="16" t="n">
        <v>1.9</v>
      </c>
      <c r="J15" s="18" t="n">
        <v>2.0515</v>
      </c>
      <c r="K15" s="18" t="n">
        <v>0.08309999999999999</v>
      </c>
      <c r="L15" s="18" t="n">
        <v>0.0028</v>
      </c>
      <c r="M15" s="29">
        <f>L15/K15</f>
        <v/>
      </c>
      <c r="N15" s="15">
        <f>F15/K15</f>
        <v/>
      </c>
      <c r="O15" s="15" t="n"/>
      <c r="P15" s="17">
        <f>(1/E15)*(D15/100)</f>
        <v/>
      </c>
      <c r="Q15" s="17" t="n">
        <v>1500000</v>
      </c>
      <c r="R15" s="17" t="n">
        <v>1000</v>
      </c>
      <c r="S15" s="17" t="n">
        <v>5500000</v>
      </c>
      <c r="T15" s="17" t="n">
        <v>1.1e-09</v>
      </c>
      <c r="U15" s="17" t="n">
        <v>4.9e-09</v>
      </c>
      <c r="V15" s="17">
        <f>R15+(S15^2*(N15*1000)^2/((96485^2)*U15))^(1/3)</f>
        <v/>
      </c>
      <c r="W15" s="25">
        <f>(V15/(Q15*20) + 1)^-1</f>
        <v/>
      </c>
      <c r="X15" s="17">
        <f>((3.14/4)*(96485^2)*U15/((N15*1000)^2))*(20-0.25*V15/Q15)^2</f>
        <v/>
      </c>
      <c r="Y15" s="17">
        <f>X15/P15</f>
        <v/>
      </c>
      <c r="Z15" s="23">
        <f>SQRT(1/Y15)</f>
        <v/>
      </c>
      <c r="AA15" s="27">
        <f>1 - SQRT(100/D15) + SQRT(100/D15 - 1)</f>
        <v/>
      </c>
    </row>
    <row r="16" customFormat="1" s="12">
      <c r="A16" s="15" t="inlineStr">
        <is>
          <t>200 mM NaClO4</t>
        </is>
      </c>
      <c r="B16" s="15" t="inlineStr">
        <is>
          <t>Ar, 100</t>
        </is>
      </c>
      <c r="C16" s="16" t="n">
        <v>5.3</v>
      </c>
      <c r="D16" s="16" t="n">
        <v>20</v>
      </c>
      <c r="E16" s="17" t="n">
        <v>9000</v>
      </c>
      <c r="F16" s="16" t="n">
        <v>11.9</v>
      </c>
      <c r="G16" s="15" t="n">
        <v>0.8</v>
      </c>
      <c r="H16" s="29">
        <f>G16/F16</f>
        <v/>
      </c>
      <c r="I16" s="16" t="n">
        <v>2.3</v>
      </c>
      <c r="J16" s="18" t="n">
        <v>2.047</v>
      </c>
      <c r="K16" s="18" t="n">
        <v>0.0814</v>
      </c>
      <c r="L16" s="18" t="n">
        <v>0.0018</v>
      </c>
      <c r="M16" s="29">
        <f>L16/K16</f>
        <v/>
      </c>
      <c r="N16" s="15">
        <f>F16/K16</f>
        <v/>
      </c>
      <c r="O16" s="15" t="n"/>
      <c r="P16" s="17">
        <f>(1/E16)*(D16/100)</f>
        <v/>
      </c>
      <c r="Q16" s="17" t="n">
        <v>1500000</v>
      </c>
      <c r="R16" s="17" t="n">
        <v>1000</v>
      </c>
      <c r="S16" s="17" t="n">
        <v>5500000</v>
      </c>
      <c r="T16" s="17" t="n">
        <v>1.1e-09</v>
      </c>
      <c r="U16" s="17" t="n">
        <v>4.9e-09</v>
      </c>
      <c r="V16" s="17">
        <f>R16+(S16^2*(N16*1000)^2/((96485^2)*U16))^(1/3)</f>
        <v/>
      </c>
      <c r="W16" s="25">
        <f>(V16/(Q16*20) + 1)^-1</f>
        <v/>
      </c>
      <c r="X16" s="17">
        <f>((3.14/4)*(96485^2)*U16/((N16*1000)^2))*(20-0.25*V16/Q16)^2</f>
        <v/>
      </c>
      <c r="Y16" s="17">
        <f>X16/P16</f>
        <v/>
      </c>
      <c r="Z16" s="23">
        <f>SQRT(1/Y16)</f>
        <v/>
      </c>
      <c r="AA16" s="27">
        <f>1 - SQRT(100/D16) + SQRT(100/D16 - 1)</f>
        <v/>
      </c>
    </row>
    <row r="17" customFormat="1" s="12">
      <c r="A17" s="15" t="inlineStr">
        <is>
          <t>200 mM NaClO4</t>
        </is>
      </c>
      <c r="B17" s="15" t="inlineStr">
        <is>
          <t>Ar, 100</t>
        </is>
      </c>
      <c r="C17" s="16" t="n">
        <v>1.7</v>
      </c>
      <c r="D17" s="16" t="n">
        <v>10</v>
      </c>
      <c r="E17" s="17" t="n">
        <v>500</v>
      </c>
      <c r="F17" s="16" t="n">
        <v>16.6</v>
      </c>
      <c r="G17" s="15" t="n">
        <v>0.4</v>
      </c>
      <c r="H17" s="29">
        <f>G17/F17</f>
        <v/>
      </c>
      <c r="I17" s="16" t="n">
        <v>1.5</v>
      </c>
      <c r="J17" s="18" t="n">
        <v>2.0053</v>
      </c>
      <c r="K17" s="18" t="n">
        <v>0.1025</v>
      </c>
      <c r="L17" s="18" t="n">
        <v>0.0037</v>
      </c>
      <c r="M17" s="29">
        <f>L17/K17</f>
        <v/>
      </c>
      <c r="N17" s="15">
        <f>F17/K17</f>
        <v/>
      </c>
      <c r="O17" s="15" t="n"/>
      <c r="P17" s="17">
        <f>(1/E17)*(D17/100)</f>
        <v/>
      </c>
      <c r="Q17" s="17" t="n">
        <v>1500000</v>
      </c>
      <c r="R17" s="17" t="n">
        <v>1000</v>
      </c>
      <c r="S17" s="17" t="n">
        <v>5500000</v>
      </c>
      <c r="T17" s="17" t="n">
        <v>1.1e-09</v>
      </c>
      <c r="U17" s="17" t="n">
        <v>4.9e-09</v>
      </c>
      <c r="V17" s="17">
        <f>R17+(S17^2*(N17*1000)^2/((96485^2)*U17))^(1/3)</f>
        <v/>
      </c>
      <c r="W17" s="25">
        <f>(V17/(Q17*20) + 1)^-1</f>
        <v/>
      </c>
      <c r="X17" s="17">
        <f>((3.14/4)*(96485^2)*U17/((N17*1000)^2))*(20-0.25*V17/Q17)^2</f>
        <v/>
      </c>
      <c r="Y17" s="17">
        <f>X17/P17</f>
        <v/>
      </c>
      <c r="Z17" s="23">
        <f>SQRT(1/Y17)</f>
        <v/>
      </c>
      <c r="AA17" s="27">
        <f>1 - SQRT(100/D17) + SQRT(100/D17 - 1)</f>
        <v/>
      </c>
    </row>
    <row r="18" customFormat="1" s="13">
      <c r="A18" s="19" t="inlineStr">
        <is>
          <t>200 mM NaClO4</t>
        </is>
      </c>
      <c r="B18" s="19" t="inlineStr">
        <is>
          <t>Ar, 100</t>
        </is>
      </c>
      <c r="C18" s="20" t="n">
        <v>3</v>
      </c>
      <c r="D18" s="20" t="n">
        <v>25</v>
      </c>
      <c r="E18" s="21" t="n">
        <v>500</v>
      </c>
      <c r="F18" s="20" t="n">
        <v>12.2</v>
      </c>
      <c r="G18" s="19" t="n">
        <v>0.6</v>
      </c>
      <c r="H18" s="30">
        <f>G18/F18</f>
        <v/>
      </c>
      <c r="I18" s="20" t="n">
        <v>2.3</v>
      </c>
      <c r="J18" s="22" t="n">
        <v>1.3895</v>
      </c>
      <c r="K18" s="22" t="n">
        <v>0.1249</v>
      </c>
      <c r="L18" s="22" t="n">
        <v>0.0014</v>
      </c>
      <c r="M18" s="30">
        <f>L18/K18</f>
        <v/>
      </c>
      <c r="N18" s="19">
        <f>F18/K18</f>
        <v/>
      </c>
      <c r="O18" s="19" t="n"/>
      <c r="P18" s="21">
        <f>(1/E18)*(D18/100)</f>
        <v/>
      </c>
      <c r="Q18" s="21" t="n">
        <v>1500000</v>
      </c>
      <c r="R18" s="21" t="n">
        <v>1000</v>
      </c>
      <c r="S18" s="21" t="n">
        <v>5500000</v>
      </c>
      <c r="T18" s="21" t="n">
        <v>1.1e-09</v>
      </c>
      <c r="U18" s="21" t="n">
        <v>4.9e-09</v>
      </c>
      <c r="V18" s="21">
        <f>R18+(S18^2*(N18*1000)^2/((96485^2)*U18))^(1/3)</f>
        <v/>
      </c>
      <c r="W18" s="26">
        <f>(V18/(Q18*20) + 1)^-1</f>
        <v/>
      </c>
      <c r="X18" s="21">
        <f>((3.14/4)*(96485^2)*U18/((N18*1000)^2))*(20-0.25*V18/Q18)^2</f>
        <v/>
      </c>
      <c r="Y18" s="21">
        <f>X18/P18</f>
        <v/>
      </c>
      <c r="Z18" s="24">
        <f>SQRT(1/Y18)</f>
        <v/>
      </c>
      <c r="AA18" s="28">
        <f>1 - SQRT(100/D18) + SQRT(100/D18 - 1)</f>
        <v/>
      </c>
    </row>
    <row r="19" customFormat="1" s="13">
      <c r="A19" s="19" t="inlineStr">
        <is>
          <t>200 mM NaClO4</t>
        </is>
      </c>
      <c r="B19" s="19" t="inlineStr">
        <is>
          <t>Ar, 100</t>
        </is>
      </c>
      <c r="C19" s="20" t="n">
        <v>4.6</v>
      </c>
      <c r="D19" s="20" t="n">
        <v>50</v>
      </c>
      <c r="E19" s="21" t="n">
        <v>500</v>
      </c>
      <c r="F19" s="20" t="n">
        <v>10.3</v>
      </c>
      <c r="G19" s="19" t="n">
        <v>0.7</v>
      </c>
      <c r="H19" s="30">
        <f>G19/F19</f>
        <v/>
      </c>
      <c r="I19" s="20" t="n">
        <v>4.6</v>
      </c>
      <c r="J19" s="22" t="n">
        <v>1.3973</v>
      </c>
      <c r="K19" s="22" t="n">
        <v>0.1633</v>
      </c>
      <c r="L19" s="22" t="n">
        <v>0.0021</v>
      </c>
      <c r="M19" s="30">
        <f>L19/K19</f>
        <v/>
      </c>
      <c r="N19" s="19">
        <f>F19/K19</f>
        <v/>
      </c>
      <c r="O19" s="19" t="n"/>
      <c r="P19" s="21">
        <f>(1/E19)*(D19/100)</f>
        <v/>
      </c>
      <c r="Q19" s="21" t="n">
        <v>1500000</v>
      </c>
      <c r="R19" s="21" t="n">
        <v>1000</v>
      </c>
      <c r="S19" s="21" t="n">
        <v>5500000</v>
      </c>
      <c r="T19" s="21" t="n">
        <v>1.1e-09</v>
      </c>
      <c r="U19" s="21" t="n">
        <v>4.9e-09</v>
      </c>
      <c r="V19" s="21">
        <f>R19+(S19^2*(N19*1000)^2/((96485^2)*U19))^(1/3)</f>
        <v/>
      </c>
      <c r="W19" s="26">
        <f>(V19/(Q19*20) + 1)^-1</f>
        <v/>
      </c>
      <c r="X19" s="21">
        <f>((3.14/4)*(96485^2)*U19/((N19*1000)^2))*(20-0.25*V19/Q19)^2</f>
        <v/>
      </c>
      <c r="Y19" s="21">
        <f>X19/P19</f>
        <v/>
      </c>
      <c r="Z19" s="24">
        <f>SQRT(1/Y19)</f>
        <v/>
      </c>
      <c r="AA19" s="28">
        <f>1 - SQRT(100/D19) + SQRT(100/D19 - 1)</f>
        <v/>
      </c>
    </row>
    <row r="20" customFormat="1" s="13">
      <c r="A20" s="19" t="inlineStr">
        <is>
          <t>200 mM NaClO4</t>
        </is>
      </c>
      <c r="B20" s="19" t="inlineStr">
        <is>
          <t>Ar, 100</t>
        </is>
      </c>
      <c r="C20" s="20" t="n">
        <v>5.5</v>
      </c>
      <c r="D20" s="20" t="n">
        <v>75</v>
      </c>
      <c r="E20" s="21" t="n">
        <v>5000</v>
      </c>
      <c r="F20" s="20" t="n"/>
      <c r="G20" s="19" t="n"/>
      <c r="H20" s="30" t="n"/>
      <c r="I20" s="20" t="n"/>
      <c r="J20" s="22" t="n">
        <v>1.4188</v>
      </c>
      <c r="K20" s="22" t="n">
        <v>0.1375</v>
      </c>
      <c r="L20" s="22" t="n">
        <v>0.0018</v>
      </c>
      <c r="M20" s="30">
        <f>L20/K20</f>
        <v/>
      </c>
      <c r="N20" s="19">
        <f>F20/K20</f>
        <v/>
      </c>
      <c r="O20" s="19" t="n"/>
      <c r="P20" s="21">
        <f>(1/E20)*(D20/100)</f>
        <v/>
      </c>
      <c r="Q20" s="21" t="n">
        <v>1500000</v>
      </c>
      <c r="R20" s="21" t="n">
        <v>1000</v>
      </c>
      <c r="S20" s="21" t="n">
        <v>5500000</v>
      </c>
      <c r="T20" s="21" t="n">
        <v>1.1e-09</v>
      </c>
      <c r="U20" s="21" t="n">
        <v>4.9e-09</v>
      </c>
      <c r="V20" s="21" t="n"/>
      <c r="W20" s="26">
        <f>(V20/(Q20*20) + 1)^-1</f>
        <v/>
      </c>
      <c r="X20" s="21">
        <f>((3.14/4)*(96485^2)*U20/((N20*1000)^2))*(20-0.25*V20/Q20)^2</f>
        <v/>
      </c>
      <c r="Y20" s="21">
        <f>X20/P20</f>
        <v/>
      </c>
      <c r="Z20" s="24">
        <f>SQRT(1/Y20)</f>
        <v/>
      </c>
      <c r="AA20" s="28">
        <f>1 - SQRT(100/D20) + SQRT(100/D20 - 1)</f>
        <v/>
      </c>
    </row>
    <row r="21" customFormat="1" s="13">
      <c r="A21" s="19" t="inlineStr">
        <is>
          <t>200 mM NaClO4</t>
        </is>
      </c>
      <c r="B21" s="19" t="inlineStr">
        <is>
          <t>Ar, 100</t>
        </is>
      </c>
      <c r="C21" s="20" t="n">
        <v>5</v>
      </c>
      <c r="D21" s="20" t="n">
        <v>25</v>
      </c>
      <c r="E21" s="21" t="n">
        <v>1000</v>
      </c>
      <c r="F21" s="20" t="n">
        <v>19.3</v>
      </c>
      <c r="G21" s="19" t="n">
        <v>0.4</v>
      </c>
      <c r="H21" s="30">
        <f>G21/F21</f>
        <v/>
      </c>
      <c r="I21" s="20" t="n">
        <v>4.6</v>
      </c>
      <c r="J21" s="22" t="n">
        <v>1.339</v>
      </c>
      <c r="K21" s="22" t="n">
        <v>0.1508</v>
      </c>
      <c r="L21" s="22" t="n">
        <v>0.0017</v>
      </c>
      <c r="M21" s="30">
        <f>L21/K21</f>
        <v/>
      </c>
      <c r="N21" s="19">
        <f>F21/K21</f>
        <v/>
      </c>
      <c r="O21" s="19" t="n"/>
      <c r="P21" s="21">
        <f>(1/E21)*(D21/100)</f>
        <v/>
      </c>
      <c r="Q21" s="21" t="n">
        <v>1500000</v>
      </c>
      <c r="R21" s="21" t="n">
        <v>1000</v>
      </c>
      <c r="S21" s="21" t="n">
        <v>5500000</v>
      </c>
      <c r="T21" s="21" t="n">
        <v>1.1e-09</v>
      </c>
      <c r="U21" s="21" t="n">
        <v>4.9e-09</v>
      </c>
      <c r="V21" s="21">
        <f>R21+(S21^2*(N21*1000)^2/((96485^2)*U21))^(1/3)</f>
        <v/>
      </c>
      <c r="W21" s="26">
        <f>(V21/(Q21*20) + 1)^-1</f>
        <v/>
      </c>
      <c r="X21" s="21">
        <f>((3.14/4)*(96485^2)*U21/((N21*1000)^2))*(20-0.25*V21/Q21)^2</f>
        <v/>
      </c>
      <c r="Y21" s="21">
        <f>X21/P21</f>
        <v/>
      </c>
      <c r="Z21" s="24">
        <f>SQRT(1/Y21)</f>
        <v/>
      </c>
      <c r="AA21" s="28">
        <f>1 - SQRT(100/D21) + SQRT(100/D21 - 1)</f>
        <v/>
      </c>
    </row>
    <row r="22" customFormat="1" s="13">
      <c r="A22" s="19" t="inlineStr">
        <is>
          <t>200 mM NaClO4</t>
        </is>
      </c>
      <c r="B22" s="19" t="inlineStr">
        <is>
          <t>Ar, 100</t>
        </is>
      </c>
      <c r="C22" s="20" t="n">
        <v>5</v>
      </c>
      <c r="D22" s="20" t="n">
        <v>50</v>
      </c>
      <c r="E22" s="21" t="n">
        <v>1000</v>
      </c>
      <c r="F22" s="20" t="n">
        <v>11.4</v>
      </c>
      <c r="G22" s="19" t="n">
        <v>0.3</v>
      </c>
      <c r="H22" s="30">
        <f>G22/F22</f>
        <v/>
      </c>
      <c r="I22" s="20" t="n">
        <v>5.6</v>
      </c>
      <c r="J22" s="22" t="n">
        <v>1.3587</v>
      </c>
      <c r="K22" s="22" t="n">
        <v>0.1361</v>
      </c>
      <c r="L22" s="22" t="n">
        <v>0.0013</v>
      </c>
      <c r="M22" s="30">
        <f>L22/K22</f>
        <v/>
      </c>
      <c r="N22" s="19">
        <f>F22/K22</f>
        <v/>
      </c>
      <c r="O22" s="19" t="n"/>
      <c r="P22" s="21">
        <f>(1/E22)*(D22/100)</f>
        <v/>
      </c>
      <c r="Q22" s="21" t="n">
        <v>1500000</v>
      </c>
      <c r="R22" s="21" t="n">
        <v>1000</v>
      </c>
      <c r="S22" s="21" t="n">
        <v>5500000</v>
      </c>
      <c r="T22" s="21" t="n">
        <v>1.1e-09</v>
      </c>
      <c r="U22" s="21" t="n">
        <v>4.9e-09</v>
      </c>
      <c r="V22" s="21">
        <f>R22+(S22^2*(N22*1000)^2/((96485^2)*U22))^(1/3)</f>
        <v/>
      </c>
      <c r="W22" s="26">
        <f>(V22/(Q22*20) + 1)^-1</f>
        <v/>
      </c>
      <c r="X22" s="21">
        <f>((3.14/4)*(96485^2)*U22/((N22*1000)^2))*(20-0.25*V22/Q22)^2</f>
        <v/>
      </c>
      <c r="Y22" s="21">
        <f>X22/P22</f>
        <v/>
      </c>
      <c r="Z22" s="24">
        <f>SQRT(1/Y22)</f>
        <v/>
      </c>
      <c r="AA22" s="28">
        <f>1 - SQRT(100/D22) + SQRT(100/D22 - 1)</f>
        <v/>
      </c>
    </row>
    <row r="23" customFormat="1" s="13">
      <c r="A23" s="19" t="inlineStr">
        <is>
          <t>200 mM NaClO4</t>
        </is>
      </c>
      <c r="B23" s="19" t="inlineStr">
        <is>
          <t>Ar, 100</t>
        </is>
      </c>
      <c r="C23" s="20" t="n">
        <v>5</v>
      </c>
      <c r="D23" s="20" t="n">
        <v>50</v>
      </c>
      <c r="E23" s="21" t="n">
        <v>5000</v>
      </c>
      <c r="F23" s="20" t="n">
        <v>8.5</v>
      </c>
      <c r="G23" s="19" t="n">
        <v>0.9</v>
      </c>
      <c r="H23" s="30">
        <f>G23/F23</f>
        <v/>
      </c>
      <c r="I23" s="20" t="n">
        <v>3.8</v>
      </c>
      <c r="J23" s="22" t="n">
        <v>1.3959</v>
      </c>
      <c r="K23" s="22" t="n">
        <v>0.1058</v>
      </c>
      <c r="L23" s="22" t="n">
        <v>0.0012</v>
      </c>
      <c r="M23" s="30">
        <f>L23/K23</f>
        <v/>
      </c>
      <c r="N23" s="19">
        <f>F23/K23</f>
        <v/>
      </c>
      <c r="O23" s="19" t="n"/>
      <c r="P23" s="21">
        <f>(1/E23)*(D23/100)</f>
        <v/>
      </c>
      <c r="Q23" s="21" t="n">
        <v>1500000</v>
      </c>
      <c r="R23" s="21" t="n">
        <v>1000</v>
      </c>
      <c r="S23" s="21" t="n">
        <v>5500000</v>
      </c>
      <c r="T23" s="21" t="n">
        <v>1.1e-09</v>
      </c>
      <c r="U23" s="21" t="n">
        <v>4.9e-09</v>
      </c>
      <c r="V23" s="21">
        <f>R23+(S23^2*(N23*1000)^2/((96485^2)*U23))^(1/3)</f>
        <v/>
      </c>
      <c r="W23" s="26">
        <f>(V23/(Q23*20) + 1)^-1</f>
        <v/>
      </c>
      <c r="X23" s="21">
        <f>((3.14/4)*(96485^2)*U23/((N23*1000)^2))*(20-0.25*V23/Q23)^2</f>
        <v/>
      </c>
      <c r="Y23" s="21">
        <f>X23/P23</f>
        <v/>
      </c>
      <c r="Z23" s="24">
        <f>SQRT(1/Y23)</f>
        <v/>
      </c>
      <c r="AA23" s="28">
        <f>1 - SQRT(100/D23) + SQRT(100/D23 - 1)</f>
        <v/>
      </c>
    </row>
    <row r="24" customFormat="1" s="13">
      <c r="A24" s="19" t="inlineStr">
        <is>
          <t>200 mM NaClO4</t>
        </is>
      </c>
      <c r="B24" s="19" t="inlineStr">
        <is>
          <t>Ar, 100</t>
        </is>
      </c>
      <c r="C24" s="20" t="n">
        <v>6.5</v>
      </c>
      <c r="D24" s="20" t="n">
        <v>90</v>
      </c>
      <c r="E24" s="21" t="n">
        <v>500</v>
      </c>
      <c r="F24" s="20" t="n">
        <v>8.6</v>
      </c>
      <c r="G24" s="19" t="n">
        <v>0.8</v>
      </c>
      <c r="H24" s="30">
        <f>G24/F24</f>
        <v/>
      </c>
      <c r="I24" s="20" t="n">
        <v>7.6</v>
      </c>
      <c r="J24" s="22" t="n">
        <v>1.3029</v>
      </c>
      <c r="K24" s="22" t="n">
        <v>0.1992</v>
      </c>
      <c r="L24" s="22" t="n">
        <v>0.0034</v>
      </c>
      <c r="M24" s="30">
        <f>L24/K24</f>
        <v/>
      </c>
      <c r="N24" s="19">
        <f>F24/K24</f>
        <v/>
      </c>
      <c r="O24" s="19" t="n"/>
      <c r="P24" s="21">
        <f>(1/E24)*(D24/100)</f>
        <v/>
      </c>
      <c r="Q24" s="21" t="n">
        <v>1500000</v>
      </c>
      <c r="R24" s="21" t="n">
        <v>1000</v>
      </c>
      <c r="S24" s="21" t="n">
        <v>5500000</v>
      </c>
      <c r="T24" s="21" t="n">
        <v>1.1e-09</v>
      </c>
      <c r="U24" s="21" t="n">
        <v>4.9e-09</v>
      </c>
      <c r="V24" s="21">
        <f>R24+(S24^2*(N24*1000)^2/((96485^2)*U24))^(1/3)</f>
        <v/>
      </c>
      <c r="W24" s="26">
        <f>(V24/(Q24*20) + 1)^-1</f>
        <v/>
      </c>
      <c r="X24" s="21">
        <f>((3.14/4)*(96485^2)*U24/((N24*1000)^2))*(20-0.25*V24/Q24)^2</f>
        <v/>
      </c>
      <c r="Y24" s="21">
        <f>X24/P24</f>
        <v/>
      </c>
      <c r="Z24" s="24">
        <f>SQRT(1/Y24)</f>
        <v/>
      </c>
      <c r="AA24" s="28">
        <f>1 - SQRT(100/D24) + SQRT(100/D24 - 1)</f>
        <v/>
      </c>
    </row>
    <row r="25" customFormat="1" s="13">
      <c r="A25" s="19" t="inlineStr">
        <is>
          <t>200 mM NaClO4</t>
        </is>
      </c>
      <c r="B25" s="19" t="inlineStr">
        <is>
          <t>Ar, 100</t>
        </is>
      </c>
      <c r="C25" s="20" t="n">
        <v>6</v>
      </c>
      <c r="D25" s="20" t="n">
        <v>50</v>
      </c>
      <c r="E25" s="21" t="n">
        <v>9000</v>
      </c>
      <c r="F25" s="20" t="n">
        <v>8.300000000000001</v>
      </c>
      <c r="G25" s="19" t="n">
        <v>0.9</v>
      </c>
      <c r="H25" s="30">
        <f>G25/F25</f>
        <v/>
      </c>
      <c r="I25" s="20" t="n">
        <v>3.6</v>
      </c>
      <c r="J25" s="22" t="n">
        <v>1.3882</v>
      </c>
      <c r="K25" s="22" t="n">
        <v>0.0851</v>
      </c>
      <c r="L25" s="22" t="n">
        <v>0.001</v>
      </c>
      <c r="M25" s="30">
        <f>L25/K25</f>
        <v/>
      </c>
      <c r="N25" s="19">
        <f>F25/K25</f>
        <v/>
      </c>
      <c r="O25" s="19" t="n"/>
      <c r="P25" s="21">
        <f>(1/E25)*(D25/100)</f>
        <v/>
      </c>
      <c r="Q25" s="21" t="n">
        <v>1500000</v>
      </c>
      <c r="R25" s="21" t="n">
        <v>1000</v>
      </c>
      <c r="S25" s="21" t="n">
        <v>5500000</v>
      </c>
      <c r="T25" s="21" t="n">
        <v>1.1e-09</v>
      </c>
      <c r="U25" s="21" t="n">
        <v>4.9e-09</v>
      </c>
      <c r="V25" s="21">
        <f>R25+(S25^2*(N25*1000)^2/((96485^2)*U25))^(1/3)</f>
        <v/>
      </c>
      <c r="W25" s="26">
        <f>(V25/(Q25*20) + 1)^-1</f>
        <v/>
      </c>
      <c r="X25" s="21">
        <f>((3.14/4)*(96485^2)*U25/((N25*1000)^2))*(20-0.25*V25/Q25)^2</f>
        <v/>
      </c>
      <c r="Y25" s="21">
        <f>X25/P25</f>
        <v/>
      </c>
      <c r="Z25" s="24">
        <f>SQRT(1/Y25)</f>
        <v/>
      </c>
      <c r="AA25" s="28">
        <f>1 - SQRT(100/D25) + SQRT(100/D25 - 1)</f>
        <v/>
      </c>
    </row>
    <row r="26" customFormat="1" s="13">
      <c r="A26" s="19" t="inlineStr">
        <is>
          <t>200 mM NaClO4</t>
        </is>
      </c>
      <c r="B26" s="19" t="inlineStr">
        <is>
          <t>Ar, 100</t>
        </is>
      </c>
      <c r="C26" s="20" t="n">
        <v>6</v>
      </c>
      <c r="D26" s="20" t="n">
        <v>75</v>
      </c>
      <c r="E26" s="21" t="n">
        <v>1000</v>
      </c>
      <c r="F26" s="20" t="n">
        <v>9.1</v>
      </c>
      <c r="G26" s="19" t="n">
        <v>0.9</v>
      </c>
      <c r="H26" s="30">
        <f>G26/F26</f>
        <v/>
      </c>
      <c r="I26" s="20" t="n">
        <v>6.6</v>
      </c>
      <c r="J26" s="22" t="n">
        <v>1.3419</v>
      </c>
      <c r="K26" s="22" t="n">
        <v>0.1888</v>
      </c>
      <c r="L26" s="22" t="n">
        <v>0.0037</v>
      </c>
      <c r="M26" s="30">
        <f>L26/K26</f>
        <v/>
      </c>
      <c r="N26" s="19">
        <f>F26/K26</f>
        <v/>
      </c>
      <c r="O26" s="19" t="n"/>
      <c r="P26" s="21">
        <f>(1/E26)*(D26/100)</f>
        <v/>
      </c>
      <c r="Q26" s="21" t="n">
        <v>1500000</v>
      </c>
      <c r="R26" s="21" t="n">
        <v>1000</v>
      </c>
      <c r="S26" s="21" t="n">
        <v>5500000</v>
      </c>
      <c r="T26" s="21" t="n">
        <v>1.1e-09</v>
      </c>
      <c r="U26" s="21" t="n">
        <v>4.9e-09</v>
      </c>
      <c r="V26" s="21">
        <f>R26+(S26^2*(N26*1000)^2/((96485^2)*U26))^(1/3)</f>
        <v/>
      </c>
      <c r="W26" s="26">
        <f>(V26/(Q26*20) + 1)^-1</f>
        <v/>
      </c>
      <c r="X26" s="21">
        <f>((3.14/4)*(96485^2)*U26/((N26*1000)^2))*(20-0.25*V26/Q26)^2</f>
        <v/>
      </c>
      <c r="Y26" s="21">
        <f>X26/P26</f>
        <v/>
      </c>
      <c r="Z26" s="24">
        <f>SQRT(1/Y26)</f>
        <v/>
      </c>
      <c r="AA26" s="28">
        <f>1 - SQRT(100/D26) + SQRT(100/D26 - 1)</f>
        <v/>
      </c>
    </row>
    <row r="27" customFormat="1" s="13">
      <c r="A27" s="19" t="inlineStr">
        <is>
          <t>200 mM NaClO4</t>
        </is>
      </c>
      <c r="B27" s="19" t="inlineStr">
        <is>
          <t>Ar, 100</t>
        </is>
      </c>
      <c r="C27" s="20" t="n">
        <v>7.2</v>
      </c>
      <c r="D27" s="20" t="n">
        <v>90</v>
      </c>
      <c r="E27" s="21" t="n">
        <v>60</v>
      </c>
      <c r="F27" s="20" t="n">
        <v>9.699999999999999</v>
      </c>
      <c r="G27" s="19" t="n">
        <v>0.9</v>
      </c>
      <c r="H27" s="30">
        <f>G27/F27</f>
        <v/>
      </c>
      <c r="I27" s="20" t="n">
        <v>8.6</v>
      </c>
      <c r="J27" s="22" t="n">
        <v>1.3882</v>
      </c>
      <c r="K27" s="22" t="n">
        <v>0.2476</v>
      </c>
      <c r="L27" s="22" t="n">
        <v>0.0065</v>
      </c>
      <c r="M27" s="30">
        <f>L27/K27</f>
        <v/>
      </c>
      <c r="N27" s="19">
        <f>F27/K27</f>
        <v/>
      </c>
      <c r="O27" s="19" t="n"/>
      <c r="P27" s="21">
        <f>(1/E27)*(D27/100)</f>
        <v/>
      </c>
      <c r="Q27" s="21" t="n">
        <v>1500000</v>
      </c>
      <c r="R27" s="21" t="n">
        <v>1000</v>
      </c>
      <c r="S27" s="21" t="n">
        <v>5500000</v>
      </c>
      <c r="T27" s="21" t="n">
        <v>1.1e-09</v>
      </c>
      <c r="U27" s="21" t="n">
        <v>4.9e-09</v>
      </c>
      <c r="V27" s="21">
        <f>R27+(S27^2*(N27*1000)^2/((96485^2)*U27))^(1/3)</f>
        <v/>
      </c>
      <c r="W27" s="26">
        <f>(V27/(Q27*20) + 1)^-1</f>
        <v/>
      </c>
      <c r="X27" s="21">
        <f>((3.14/4)*(96485^2)*U27/((N27*1000)^2))*(20-0.25*V27/Q27)^2</f>
        <v/>
      </c>
      <c r="Y27" s="21">
        <f>X27/P27</f>
        <v/>
      </c>
      <c r="Z27" s="24">
        <f>SQRT(1/Y27)</f>
        <v/>
      </c>
      <c r="AA27" s="28">
        <f>1 - SQRT(100/D27) + SQRT(100/D27 - 1)</f>
        <v/>
      </c>
    </row>
    <row r="28">
      <c r="K28" s="5" t="n"/>
      <c r="L28" s="5" t="n"/>
      <c r="M28" s="5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</row>
    <row r="29">
      <c r="L29" s="5" t="n"/>
      <c r="M29" s="5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</row>
    <row r="30"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</row>
    <row r="31"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</row>
    <row r="32"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</row>
    <row r="33"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</row>
    <row r="34"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</row>
    <row r="35"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</row>
    <row r="36"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</row>
    <row r="37"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</row>
    <row r="38"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</row>
    <row r="39"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</row>
    <row r="40"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</row>
    <row r="41"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</row>
    <row r="42"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</row>
    <row r="43"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</row>
    <row r="44"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</row>
    <row r="45"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</row>
    <row r="46"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46"/>
  <sheetViews>
    <sheetView topLeftCell="U1" zoomScale="140" workbookViewId="0">
      <selection activeCell="U12" sqref="A12:XFD12"/>
    </sheetView>
  </sheetViews>
  <sheetFormatPr baseColWidth="10" defaultColWidth="8.83203125" defaultRowHeight="15"/>
  <cols>
    <col width="29.33203125" customWidth="1" min="1" max="1"/>
    <col width="23.33203125" customWidth="1" min="2" max="2"/>
    <col width="23" customWidth="1" min="3" max="3"/>
    <col width="16.6640625" customWidth="1" min="4" max="4"/>
    <col width="15.6640625" customWidth="1" min="5" max="5"/>
    <col width="18.83203125" customWidth="1" min="6" max="6"/>
    <col width="25.6640625" customWidth="1" min="7" max="8"/>
    <col width="22.6640625" customWidth="1" min="9" max="13"/>
    <col width="32" customWidth="1" min="14" max="14"/>
    <col width="35.5" customWidth="1" min="15" max="15"/>
    <col width="16.33203125" customWidth="1" min="16" max="16"/>
    <col width="29.5" customWidth="1" min="17" max="17"/>
    <col width="36.5" customWidth="1" min="18" max="18"/>
    <col width="41" customWidth="1" min="19" max="19"/>
    <col width="31.1640625" customWidth="1" min="20" max="20"/>
    <col width="23.83203125" customWidth="1" min="21" max="21"/>
    <col width="33.1640625" customWidth="1" min="22" max="22"/>
    <col width="32.1640625" customWidth="1" min="23" max="23"/>
    <col width="22" customWidth="1" min="24" max="24"/>
    <col width="16.33203125" customWidth="1" min="25" max="25"/>
    <col width="18" customWidth="1" min="26" max="26"/>
    <col width="16.5" customWidth="1" min="27" max="27"/>
  </cols>
  <sheetData>
    <row r="1">
      <c r="A1" s="14" t="inlineStr">
        <is>
          <t>Liquid Composition (aqueous)</t>
        </is>
      </c>
      <c r="B1" s="14" t="inlineStr">
        <is>
          <t>Gas, Flow Rate (sccm)</t>
        </is>
      </c>
      <c r="C1" s="14" t="inlineStr">
        <is>
          <t>HVDC Set Current (mA)</t>
        </is>
      </c>
      <c r="D1" s="14" t="inlineStr">
        <is>
          <t>Duty Cycle (%)</t>
        </is>
      </c>
      <c r="E1" s="14" t="inlineStr">
        <is>
          <t>Frequency (Hz)</t>
        </is>
      </c>
      <c r="F1" s="14" t="inlineStr">
        <is>
          <t>Peak Current (mA)</t>
        </is>
      </c>
      <c r="G1" s="14" t="inlineStr">
        <is>
          <t>Peak Current Err (mA, 95%)</t>
        </is>
      </c>
      <c r="H1" s="14" t="inlineStr">
        <is>
          <t>Rel Peak Current Err (95%)</t>
        </is>
      </c>
      <c r="I1" s="14" t="inlineStr">
        <is>
          <t>Avg Current (mA)</t>
        </is>
      </c>
      <c r="J1" s="14" t="inlineStr">
        <is>
          <t>Height (mm)</t>
        </is>
      </c>
      <c r="K1" s="14" t="inlineStr">
        <is>
          <t>Area (mm^2)</t>
        </is>
      </c>
      <c r="L1" s="14" t="inlineStr">
        <is>
          <t>Area Err (mm^2, 95%)</t>
        </is>
      </c>
      <c r="M1" s="14" t="inlineStr">
        <is>
          <t>Rel Area Err (95%)</t>
        </is>
      </c>
      <c r="N1" s="14" t="inlineStr">
        <is>
          <t>Peak Current Density (mA/mm^2)</t>
        </is>
      </c>
      <c r="O1" s="14" t="inlineStr">
        <is>
          <t>Peak Current Density Err (mA/mm^2)</t>
        </is>
      </c>
      <c r="P1" s="14" t="inlineStr">
        <is>
          <t>On Time (s)</t>
        </is>
      </c>
      <c r="Q1" s="14" t="inlineStr">
        <is>
          <t>Sub Rate Const (m^3/mol-s)</t>
        </is>
      </c>
      <c r="R1" s="14" t="inlineStr">
        <is>
          <t>1st-Order Recomb Const (1/s)</t>
        </is>
      </c>
      <c r="S1" s="14" t="inlineStr">
        <is>
          <t>2nd-Order Recomb Const (m^3/mol-s)</t>
        </is>
      </c>
      <c r="T1" s="14" t="inlineStr">
        <is>
          <t>Sub Diffusivity (m^2/s)</t>
        </is>
      </c>
      <c r="U1" s="14" t="inlineStr">
        <is>
          <t>e- Diffusivity (m^2/s)</t>
        </is>
      </c>
      <c r="V1" s="2" t="inlineStr">
        <is>
          <t>Effective Recomb Const (1/s)</t>
        </is>
      </c>
      <c r="W1" s="2" t="inlineStr">
        <is>
          <t>Max Inst. Sel (%)</t>
        </is>
      </c>
      <c r="X1" s="2" t="inlineStr">
        <is>
          <t>20% Depletion Time (s)</t>
        </is>
      </c>
      <c r="Y1" s="2" t="inlineStr">
        <is>
          <t>Allowed/On Time</t>
        </is>
      </c>
      <c r="Z1" s="2" t="inlineStr">
        <is>
          <t>Degree Depletion</t>
        </is>
      </c>
      <c r="AA1" s="2" t="inlineStr">
        <is>
          <t>Degree Recovery</t>
        </is>
      </c>
    </row>
    <row r="2" customFormat="1" s="12">
      <c r="A2" s="15" t="inlineStr">
        <is>
          <t>200 mM NaClO4</t>
        </is>
      </c>
      <c r="B2" s="15" t="inlineStr">
        <is>
          <t>Ar, 100</t>
        </is>
      </c>
      <c r="C2" s="16" t="n">
        <v>1.3</v>
      </c>
      <c r="D2" s="16" t="n">
        <v>5</v>
      </c>
      <c r="E2" s="17" t="n">
        <v>1000</v>
      </c>
      <c r="F2" s="16" t="n">
        <v>17.3</v>
      </c>
      <c r="G2" s="15" t="n">
        <v>0.8</v>
      </c>
      <c r="H2" s="29">
        <f>G2/F2</f>
        <v/>
      </c>
      <c r="I2" s="16" t="n">
        <v>0.6</v>
      </c>
      <c r="J2" s="18" t="n">
        <v>1.9857</v>
      </c>
      <c r="K2" s="18" t="n">
        <v>0.0785</v>
      </c>
      <c r="L2" s="15" t="n">
        <v>0.0035</v>
      </c>
      <c r="M2" s="29">
        <f>L2/K2</f>
        <v/>
      </c>
      <c r="N2" s="15">
        <f>0.185*F2/K2</f>
        <v/>
      </c>
      <c r="O2" s="15" t="n"/>
      <c r="P2" s="17">
        <f>(1/E2)*(D2/100)</f>
        <v/>
      </c>
      <c r="Q2" s="17" t="n">
        <v>180000</v>
      </c>
      <c r="R2" s="17" t="n">
        <v>440000</v>
      </c>
      <c r="S2" s="17" t="n">
        <v>0</v>
      </c>
      <c r="T2" s="17" t="n">
        <v>6.4e-11</v>
      </c>
      <c r="U2" s="17" t="n">
        <v>7.2e-10</v>
      </c>
      <c r="V2" s="17">
        <f>R2+(S2^2*(N2*1000)^2/((96485^2)*U2))^(1/3)</f>
        <v/>
      </c>
      <c r="W2" s="25">
        <f>(V2/(Q2*50) + 1)^-1</f>
        <v/>
      </c>
      <c r="X2" s="17">
        <f>((3.14/4)*(96485^2)*U2/((N2*1000)^2))*(50-0.25*V2/Q2)^2</f>
        <v/>
      </c>
      <c r="Y2" s="17">
        <f>X2/P2</f>
        <v/>
      </c>
      <c r="Z2" s="23">
        <f>SQRT(1/Y2)</f>
        <v/>
      </c>
      <c r="AA2" s="27">
        <f>1 - SQRT(100/D2) + SQRT(100/D2 - 1)</f>
        <v/>
      </c>
    </row>
    <row r="3" customFormat="1" s="12">
      <c r="A3" s="15" t="inlineStr">
        <is>
          <t>200 mM NaClO4</t>
        </is>
      </c>
      <c r="B3" s="15" t="inlineStr">
        <is>
          <t>Ar, 100</t>
        </is>
      </c>
      <c r="C3" s="16" t="n">
        <v>1.8</v>
      </c>
      <c r="D3" s="16" t="n">
        <v>10</v>
      </c>
      <c r="E3" s="17" t="n">
        <v>1000</v>
      </c>
      <c r="F3" s="16" t="n">
        <v>15</v>
      </c>
      <c r="G3" s="15" t="n">
        <v>0.6</v>
      </c>
      <c r="H3" s="29">
        <f>G3/F3</f>
        <v/>
      </c>
      <c r="I3" s="16" t="n">
        <v>1.3</v>
      </c>
      <c r="J3" s="18" t="n">
        <v>2.0185</v>
      </c>
      <c r="K3" s="18" t="n">
        <v>0.0707</v>
      </c>
      <c r="L3" s="15" t="n">
        <v>0.0027</v>
      </c>
      <c r="M3" s="29">
        <f>L3/K3</f>
        <v/>
      </c>
      <c r="N3" s="15">
        <f>0.185*F3/K3</f>
        <v/>
      </c>
      <c r="O3" s="15" t="n"/>
      <c r="P3" s="17">
        <f>(1/E3)*(D3/100)</f>
        <v/>
      </c>
      <c r="Q3" s="17" t="n">
        <v>180000</v>
      </c>
      <c r="R3" s="17" t="n">
        <v>440000</v>
      </c>
      <c r="S3" s="17" t="n">
        <v>0</v>
      </c>
      <c r="T3" s="17" t="n">
        <v>6.4e-11</v>
      </c>
      <c r="U3" s="17" t="n">
        <v>7.2e-10</v>
      </c>
      <c r="V3" s="17">
        <f>R3+(S3^2*(N3*1000)^2/((96485^2)*U3))^(1/3)</f>
        <v/>
      </c>
      <c r="W3" s="25">
        <f>(V3/(Q3*50) + 1)^-1</f>
        <v/>
      </c>
      <c r="X3" s="17">
        <f>((3.14/4)*(96485^2)*U3/((N3*1000)^2))*(50-0.25*V3/Q3)^2</f>
        <v/>
      </c>
      <c r="Y3" s="17">
        <f>X3/P3</f>
        <v/>
      </c>
      <c r="Z3" s="23">
        <f>SQRT(1/Y3)</f>
        <v/>
      </c>
      <c r="AA3" s="27">
        <f>1 - SQRT(100/D3) + SQRT(100/D3 - 1)</f>
        <v/>
      </c>
    </row>
    <row r="4" customFormat="1" s="12">
      <c r="A4" s="15" t="inlineStr">
        <is>
          <t>200 mM NaClO4</t>
        </is>
      </c>
      <c r="B4" s="15" t="inlineStr">
        <is>
          <t>Ar, 100</t>
        </is>
      </c>
      <c r="C4" s="16" t="n">
        <v>4.8</v>
      </c>
      <c r="D4" s="16" t="n">
        <v>50</v>
      </c>
      <c r="E4" s="17" t="n">
        <v>1000</v>
      </c>
      <c r="F4" s="16" t="n">
        <v>14.2</v>
      </c>
      <c r="G4" s="15" t="n">
        <v>0.3</v>
      </c>
      <c r="H4" s="29">
        <f>G4/F4</f>
        <v/>
      </c>
      <c r="I4" s="16" t="n">
        <v>7</v>
      </c>
      <c r="J4" s="18" t="n">
        <v>1.898</v>
      </c>
      <c r="K4" s="18" t="n">
        <v>0.21</v>
      </c>
      <c r="L4" s="15" t="n">
        <v>0.0062</v>
      </c>
      <c r="M4" s="29">
        <f>L4/K4</f>
        <v/>
      </c>
      <c r="N4" s="15">
        <f>0.185*F4/K4</f>
        <v/>
      </c>
      <c r="O4" s="15" t="n"/>
      <c r="P4" s="17">
        <f>(1/E4)*(D4/100)</f>
        <v/>
      </c>
      <c r="Q4" s="17" t="n">
        <v>180000</v>
      </c>
      <c r="R4" s="17" t="n">
        <v>440000</v>
      </c>
      <c r="S4" s="17" t="n">
        <v>0</v>
      </c>
      <c r="T4" s="17" t="n">
        <v>6.4e-11</v>
      </c>
      <c r="U4" s="17" t="n">
        <v>7.2e-10</v>
      </c>
      <c r="V4" s="17">
        <f>R4+(S4^2*(N4*1000)^2/((96485^2)*U4))^(1/3)</f>
        <v/>
      </c>
      <c r="W4" s="25">
        <f>(V4/(Q4*50) + 1)^-1</f>
        <v/>
      </c>
      <c r="X4" s="17">
        <f>((3.14/4)*(96485^2)*U4/((N4*1000)^2))*(50-0.25*V4/Q4)^2</f>
        <v/>
      </c>
      <c r="Y4" s="17">
        <f>X4/P4</f>
        <v/>
      </c>
      <c r="Z4" s="23">
        <f>SQRT(1/Y4)</f>
        <v/>
      </c>
      <c r="AA4" s="27">
        <f>1 - SQRT(100/D4) + SQRT(100/D4 - 1)</f>
        <v/>
      </c>
    </row>
    <row r="5" customFormat="1" s="12">
      <c r="A5" s="15" t="inlineStr">
        <is>
          <t>200 mM NaClO4</t>
        </is>
      </c>
      <c r="B5" s="15" t="inlineStr">
        <is>
          <t>Ar, 100</t>
        </is>
      </c>
      <c r="C5" s="16" t="n">
        <v>8</v>
      </c>
      <c r="D5" s="16" t="n">
        <v>50</v>
      </c>
      <c r="E5" s="17" t="n">
        <v>1000</v>
      </c>
      <c r="F5" s="16" t="n">
        <v>17.1</v>
      </c>
      <c r="G5" s="15" t="n">
        <v>0.3</v>
      </c>
      <c r="H5" s="29">
        <f>G5/F5</f>
        <v/>
      </c>
      <c r="I5" s="16" t="n">
        <v>8.4</v>
      </c>
      <c r="J5" s="18" t="n">
        <v>1.9036</v>
      </c>
      <c r="K5" s="18" t="n">
        <v>0.2445</v>
      </c>
      <c r="L5" s="15" t="n">
        <v>0.0083</v>
      </c>
      <c r="M5" s="29">
        <f>L5/K5</f>
        <v/>
      </c>
      <c r="N5" s="15">
        <f>0.185*F5/K5</f>
        <v/>
      </c>
      <c r="O5" s="15" t="n"/>
      <c r="P5" s="17">
        <f>(1/E5)*(D5/100)</f>
        <v/>
      </c>
      <c r="Q5" s="17" t="n">
        <v>180000</v>
      </c>
      <c r="R5" s="17" t="n">
        <v>440000</v>
      </c>
      <c r="S5" s="17" t="n">
        <v>0</v>
      </c>
      <c r="T5" s="17" t="n">
        <v>6.4e-11</v>
      </c>
      <c r="U5" s="17" t="n">
        <v>7.2e-10</v>
      </c>
      <c r="V5" s="17">
        <f>R5+(S5^2*(N5*1000)^2/((96485^2)*U5))^(1/3)</f>
        <v/>
      </c>
      <c r="W5" s="25">
        <f>(V5/(Q5*50) + 1)^-1</f>
        <v/>
      </c>
      <c r="X5" s="17">
        <f>((3.14/4)*(96485^2)*U5/((N5*1000)^2))*(50-0.25*V5/Q5)^2</f>
        <v/>
      </c>
      <c r="Y5" s="17">
        <f>X5/P5</f>
        <v/>
      </c>
      <c r="Z5" s="23">
        <f>SQRT(1/Y5)</f>
        <v/>
      </c>
      <c r="AA5" s="27">
        <f>1 - SQRT(100/D5) + SQRT(100/D5 - 1)</f>
        <v/>
      </c>
    </row>
    <row r="6" customFormat="1" s="12">
      <c r="A6" s="15" t="inlineStr">
        <is>
          <t>200 mM NaClO4</t>
        </is>
      </c>
      <c r="B6" s="15" t="inlineStr">
        <is>
          <t>Ar, 100</t>
        </is>
      </c>
      <c r="C6" s="16" t="n">
        <v>2.4</v>
      </c>
      <c r="D6" s="16" t="n">
        <v>5</v>
      </c>
      <c r="E6" s="17" t="n">
        <v>2000</v>
      </c>
      <c r="F6" s="16" t="n">
        <v>22.2</v>
      </c>
      <c r="G6" s="15" t="n">
        <v>1.2</v>
      </c>
      <c r="H6" s="29">
        <f>G6/F6</f>
        <v/>
      </c>
      <c r="I6" s="16" t="n">
        <v>0.9</v>
      </c>
      <c r="J6" s="18" t="n">
        <v>1.9774</v>
      </c>
      <c r="K6" s="18" t="n">
        <v>0.1183</v>
      </c>
      <c r="L6" s="15" t="n">
        <v>0.0044</v>
      </c>
      <c r="M6" s="29">
        <f>L6/K6</f>
        <v/>
      </c>
      <c r="N6" s="15">
        <f>0.185*F6/K6</f>
        <v/>
      </c>
      <c r="O6" s="15" t="n"/>
      <c r="P6" s="17">
        <f>(1/E6)*(D6/100)</f>
        <v/>
      </c>
      <c r="Q6" s="17" t="n">
        <v>180000</v>
      </c>
      <c r="R6" s="17" t="n">
        <v>440000</v>
      </c>
      <c r="S6" s="17" t="n">
        <v>0</v>
      </c>
      <c r="T6" s="17" t="n">
        <v>6.4e-11</v>
      </c>
      <c r="U6" s="17" t="n">
        <v>7.2e-10</v>
      </c>
      <c r="V6" s="17">
        <f>R6+(S6^2*(N6*1000)^2/((96485^2)*U6))^(1/3)</f>
        <v/>
      </c>
      <c r="W6" s="25">
        <f>(V6/(Q6*50) + 1)^-1</f>
        <v/>
      </c>
      <c r="X6" s="17">
        <f>((3.14/4)*(96485^2)*U6/((N6*1000)^2))*(50-0.25*V6/Q6)^2</f>
        <v/>
      </c>
      <c r="Y6" s="17">
        <f>X6/P6</f>
        <v/>
      </c>
      <c r="Z6" s="23">
        <f>SQRT(1/Y6)</f>
        <v/>
      </c>
      <c r="AA6" s="27">
        <f>1 - SQRT(100/D6) + SQRT(100/D6 - 1)</f>
        <v/>
      </c>
    </row>
    <row r="7" customFormat="1" s="12">
      <c r="A7" s="15" t="inlineStr">
        <is>
          <t>200 mM NaClO4</t>
        </is>
      </c>
      <c r="B7" s="15" t="inlineStr">
        <is>
          <t>Ar, 100</t>
        </is>
      </c>
      <c r="C7" s="16" t="n">
        <v>3.5</v>
      </c>
      <c r="D7" s="16" t="n">
        <v>10</v>
      </c>
      <c r="E7" s="17" t="n">
        <v>2000</v>
      </c>
      <c r="F7" s="16" t="n">
        <v>23.1</v>
      </c>
      <c r="G7" s="15" t="n">
        <v>0.9</v>
      </c>
      <c r="H7" s="29">
        <f>G7/F7</f>
        <v/>
      </c>
      <c r="I7" s="16" t="n">
        <v>2.1</v>
      </c>
      <c r="J7" s="18" t="n">
        <v>2.0148</v>
      </c>
      <c r="K7" s="18" t="n">
        <v>0.1041</v>
      </c>
      <c r="L7" s="15" t="n">
        <v>0.0032</v>
      </c>
      <c r="M7" s="29">
        <f>L7/K7</f>
        <v/>
      </c>
      <c r="N7" s="15">
        <f>0.185*F7/K7</f>
        <v/>
      </c>
      <c r="O7" s="15" t="n"/>
      <c r="P7" s="17">
        <f>(1/E7)*(D7/100)</f>
        <v/>
      </c>
      <c r="Q7" s="17" t="n">
        <v>180000</v>
      </c>
      <c r="R7" s="17" t="n">
        <v>440000</v>
      </c>
      <c r="S7" s="17" t="n">
        <v>0</v>
      </c>
      <c r="T7" s="17" t="n">
        <v>6.4e-11</v>
      </c>
      <c r="U7" s="17" t="n">
        <v>7.2e-10</v>
      </c>
      <c r="V7" s="17">
        <f>R7+(S7^2*(N7*1000)^2/((96485^2)*U7))^(1/3)</f>
        <v/>
      </c>
      <c r="W7" s="25">
        <f>(V7/(Q7*50) + 1)^-1</f>
        <v/>
      </c>
      <c r="X7" s="17">
        <f>((3.14/4)*(96485^2)*U7/((N7*1000)^2))*(50-0.25*V7/Q7)^2</f>
        <v/>
      </c>
      <c r="Y7" s="17">
        <f>X7/P7</f>
        <v/>
      </c>
      <c r="Z7" s="23">
        <f>SQRT(1/Y7)</f>
        <v/>
      </c>
      <c r="AA7" s="27">
        <f>1 - SQRT(100/D7) + SQRT(100/D7 - 1)</f>
        <v/>
      </c>
    </row>
    <row r="8" customFormat="1" s="12">
      <c r="A8" s="15" t="inlineStr">
        <is>
          <t>200 mM NaClO4</t>
        </is>
      </c>
      <c r="B8" s="15" t="inlineStr">
        <is>
          <t>Ar, 100</t>
        </is>
      </c>
      <c r="C8" s="16" t="n">
        <v>2.8</v>
      </c>
      <c r="D8" s="16" t="n">
        <v>15</v>
      </c>
      <c r="E8" s="17" t="n">
        <v>2000</v>
      </c>
      <c r="F8" s="16" t="n">
        <v>14.9</v>
      </c>
      <c r="G8" s="15" t="n">
        <v>0.6</v>
      </c>
      <c r="H8" s="29">
        <f>G8/F8</f>
        <v/>
      </c>
      <c r="I8" s="16" t="n">
        <v>2.1</v>
      </c>
      <c r="J8" s="18" t="n">
        <v>2.0097</v>
      </c>
      <c r="K8" s="18" t="n">
        <v>0.06279999999999999</v>
      </c>
      <c r="L8" s="15" t="n">
        <v>0.0024</v>
      </c>
      <c r="M8" s="29">
        <f>L8/K8</f>
        <v/>
      </c>
      <c r="N8" s="15">
        <f>0.185*F8/K8</f>
        <v/>
      </c>
      <c r="O8" s="15" t="n"/>
      <c r="P8" s="17">
        <f>(1/E8)*(D8/100)</f>
        <v/>
      </c>
      <c r="Q8" s="17" t="n">
        <v>180000</v>
      </c>
      <c r="R8" s="17" t="n">
        <v>440000</v>
      </c>
      <c r="S8" s="17" t="n">
        <v>0</v>
      </c>
      <c r="T8" s="17" t="n">
        <v>6.4e-11</v>
      </c>
      <c r="U8" s="17" t="n">
        <v>7.2e-10</v>
      </c>
      <c r="V8" s="17">
        <f>R8+(S8^2*(N8*1000)^2/((96485^2)*U8))^(1/3)</f>
        <v/>
      </c>
      <c r="W8" s="25">
        <f>(V8/(Q8*50) + 1)^-1</f>
        <v/>
      </c>
      <c r="X8" s="17">
        <f>((3.14/4)*(96485^2)*U8/((N8*1000)^2))*(50-0.25*V8/Q8)^2</f>
        <v/>
      </c>
      <c r="Y8" s="17">
        <f>X8/P8</f>
        <v/>
      </c>
      <c r="Z8" s="23">
        <f>SQRT(1/Y8)</f>
        <v/>
      </c>
      <c r="AA8" s="27">
        <f>1 - SQRT(100/D8) + SQRT(100/D8 - 1)</f>
        <v/>
      </c>
    </row>
    <row r="9" customFormat="1" s="12">
      <c r="A9" s="15" t="inlineStr">
        <is>
          <t>200 mM NaClO4</t>
        </is>
      </c>
      <c r="B9" s="15" t="inlineStr">
        <is>
          <t>Ar, 100</t>
        </is>
      </c>
      <c r="C9" s="16" t="n">
        <v>5</v>
      </c>
      <c r="D9" s="16" t="n">
        <v>15</v>
      </c>
      <c r="E9" s="17" t="n">
        <v>2000</v>
      </c>
      <c r="F9" s="16" t="n">
        <v>25</v>
      </c>
      <c r="G9" s="15" t="n">
        <v>0.8</v>
      </c>
      <c r="H9" s="29">
        <f>G9/F9</f>
        <v/>
      </c>
      <c r="I9" s="16" t="n">
        <v>3.6</v>
      </c>
      <c r="J9" s="18" t="n">
        <v>2.0192</v>
      </c>
      <c r="K9" s="18" t="n">
        <v>0.1565</v>
      </c>
      <c r="L9" s="15" t="n">
        <v>0.0033</v>
      </c>
      <c r="M9" s="29">
        <f>L9/K9</f>
        <v/>
      </c>
      <c r="N9" s="15">
        <f>0.185*F9/K9</f>
        <v/>
      </c>
      <c r="O9" s="15" t="n"/>
      <c r="P9" s="17">
        <f>(1/E9)*(D9/100)</f>
        <v/>
      </c>
      <c r="Q9" s="17" t="n">
        <v>180000</v>
      </c>
      <c r="R9" s="17" t="n">
        <v>440000</v>
      </c>
      <c r="S9" s="17" t="n">
        <v>0</v>
      </c>
      <c r="T9" s="17" t="n">
        <v>6.4e-11</v>
      </c>
      <c r="U9" s="17" t="n">
        <v>7.2e-10</v>
      </c>
      <c r="V9" s="17">
        <f>R9+(S9^2*(N9*1000)^2/((96485^2)*U9))^(1/3)</f>
        <v/>
      </c>
      <c r="W9" s="25">
        <f>(V9/(Q9*50) + 1)^-1</f>
        <v/>
      </c>
      <c r="X9" s="17">
        <f>((3.14/4)*(96485^2)*U9/((N9*1000)^2))*(50-0.25*V9/Q9)^2</f>
        <v/>
      </c>
      <c r="Y9" s="17">
        <f>X9/P9</f>
        <v/>
      </c>
      <c r="Z9" s="23">
        <f>SQRT(1/Y9)</f>
        <v/>
      </c>
      <c r="AA9" s="27">
        <f>1 - SQRT(100/D9) + SQRT(100/D9 - 1)</f>
        <v/>
      </c>
    </row>
    <row r="10" customFormat="1" s="39">
      <c r="A10" s="31" t="inlineStr">
        <is>
          <t>200 mM NaClO4</t>
        </is>
      </c>
      <c r="B10" s="31" t="inlineStr">
        <is>
          <t>Ar, 100</t>
        </is>
      </c>
      <c r="C10" s="32" t="n">
        <v>3.4</v>
      </c>
      <c r="D10" s="32" t="n">
        <v>5</v>
      </c>
      <c r="E10" s="33" t="n">
        <v>4000</v>
      </c>
      <c r="F10" s="32" t="n">
        <v>20.8</v>
      </c>
      <c r="G10" s="31" t="n">
        <v>1.5</v>
      </c>
      <c r="H10" s="34">
        <f>G10/F10</f>
        <v/>
      </c>
      <c r="I10" s="32" t="n">
        <v>0.8</v>
      </c>
      <c r="J10" s="35" t="n">
        <v>1.9913</v>
      </c>
      <c r="K10" s="35" t="n">
        <v>0.2143</v>
      </c>
      <c r="L10" s="31" t="n">
        <v>0.0074</v>
      </c>
      <c r="M10" s="34">
        <f>L10/K10</f>
        <v/>
      </c>
      <c r="N10" s="31">
        <f>0.185*F10/K10</f>
        <v/>
      </c>
      <c r="O10" s="31" t="n"/>
      <c r="P10" s="33">
        <f>(1/E10)*(D10/100)</f>
        <v/>
      </c>
      <c r="Q10" s="33" t="n">
        <v>180000</v>
      </c>
      <c r="R10" s="33" t="n">
        <v>440000</v>
      </c>
      <c r="S10" s="33" t="n">
        <v>0</v>
      </c>
      <c r="T10" s="33" t="n">
        <v>6.4e-11</v>
      </c>
      <c r="U10" s="33" t="n">
        <v>7.2e-10</v>
      </c>
      <c r="V10" s="33">
        <f>R10+(S10^2*(N10*1000)^2/((96485^2)*U10))^(1/3)</f>
        <v/>
      </c>
      <c r="W10" s="36">
        <f>(V10/(Q10*50) + 1)^-1</f>
        <v/>
      </c>
      <c r="X10" s="33">
        <f>((3.14/4)*(96485^2)*U10/((N10*1000)^2))*(50-0.25*V10/Q10)^2</f>
        <v/>
      </c>
      <c r="Y10" s="33">
        <f>X10/P10</f>
        <v/>
      </c>
      <c r="Z10" s="37">
        <f>SQRT(1/Y10)</f>
        <v/>
      </c>
      <c r="AA10" s="38">
        <f>1 - SQRT(100/D10) + SQRT(100/D10 - 1)</f>
        <v/>
      </c>
    </row>
    <row r="11" customFormat="1" s="12">
      <c r="A11" s="15" t="inlineStr">
        <is>
          <t>200 mM NaClO4</t>
        </is>
      </c>
      <c r="B11" s="15" t="inlineStr">
        <is>
          <t>Ar, 100</t>
        </is>
      </c>
      <c r="C11" s="16" t="n">
        <v>3.5</v>
      </c>
      <c r="D11" s="16" t="n">
        <v>10</v>
      </c>
      <c r="E11" s="17" t="n">
        <v>4000</v>
      </c>
      <c r="F11" s="16" t="n">
        <v>16.7</v>
      </c>
      <c r="G11" s="15" t="n">
        <v>0.9</v>
      </c>
      <c r="H11" s="29">
        <f>G11/F11</f>
        <v/>
      </c>
      <c r="I11" s="16" t="n">
        <v>1.5</v>
      </c>
      <c r="J11" s="18" t="n">
        <v>2.0426</v>
      </c>
      <c r="K11" s="18" t="n">
        <v>0.1155</v>
      </c>
      <c r="L11" s="18" t="n">
        <v>0.0041</v>
      </c>
      <c r="M11" s="29">
        <f>L11/K11</f>
        <v/>
      </c>
      <c r="N11" s="15">
        <f>0.185*F11/K11</f>
        <v/>
      </c>
      <c r="O11" s="15" t="n"/>
      <c r="P11" s="17">
        <f>(1/E11)*(D11/100)</f>
        <v/>
      </c>
      <c r="Q11" s="17" t="n">
        <v>180000</v>
      </c>
      <c r="R11" s="17" t="n">
        <v>440000</v>
      </c>
      <c r="S11" s="17" t="n">
        <v>0</v>
      </c>
      <c r="T11" s="17" t="n">
        <v>6.4e-11</v>
      </c>
      <c r="U11" s="17" t="n">
        <v>7.2e-10</v>
      </c>
      <c r="V11" s="17">
        <f>R11+(S11^2*(N11*1000)^2/((96485^2)*U11))^(1/3)</f>
        <v/>
      </c>
      <c r="W11" s="25">
        <f>(V11/(Q11*50) + 1)^-1</f>
        <v/>
      </c>
      <c r="X11" s="17">
        <f>((3.14/4)*(96485^2)*U11/((N11*1000)^2))*(50-0.25*V11/Q11)^2</f>
        <v/>
      </c>
      <c r="Y11" s="17">
        <f>X11/P11</f>
        <v/>
      </c>
      <c r="Z11" s="23">
        <f>SQRT(1/Y11)</f>
        <v/>
      </c>
      <c r="AA11" s="27">
        <f>1 - SQRT(100/D11) + SQRT(100/D11 - 1)</f>
        <v/>
      </c>
    </row>
    <row r="12" customFormat="1" s="39">
      <c r="A12" s="31" t="inlineStr">
        <is>
          <t>200 mM NaClO4</t>
        </is>
      </c>
      <c r="B12" s="31" t="inlineStr">
        <is>
          <t>Ar, 100</t>
        </is>
      </c>
      <c r="C12" s="32" t="n">
        <v>3.4</v>
      </c>
      <c r="D12" s="32" t="n">
        <v>5</v>
      </c>
      <c r="E12" s="33" t="n">
        <v>5000</v>
      </c>
      <c r="F12" s="32" t="n">
        <v>17.4</v>
      </c>
      <c r="G12" s="31" t="n">
        <v>1.5</v>
      </c>
      <c r="H12" s="34">
        <f>G12/F12</f>
        <v/>
      </c>
      <c r="I12" s="32" t="n">
        <v>0.7</v>
      </c>
      <c r="J12" s="35" t="n">
        <v>2.0515</v>
      </c>
      <c r="K12" s="35" t="n">
        <v>0.2011</v>
      </c>
      <c r="L12" s="35" t="n">
        <v>0.0055</v>
      </c>
      <c r="M12" s="34">
        <f>L12/K12</f>
        <v/>
      </c>
      <c r="N12" s="31">
        <f>0.185*F12/K12</f>
        <v/>
      </c>
      <c r="O12" s="31" t="n"/>
      <c r="P12" s="33">
        <f>(1/E12)*(D12/100)</f>
        <v/>
      </c>
      <c r="Q12" s="33" t="n">
        <v>180000</v>
      </c>
      <c r="R12" s="33" t="n">
        <v>440000</v>
      </c>
      <c r="S12" s="33" t="n">
        <v>0</v>
      </c>
      <c r="T12" s="33" t="n">
        <v>6.4e-11</v>
      </c>
      <c r="U12" s="33" t="n">
        <v>7.2e-10</v>
      </c>
      <c r="V12" s="33">
        <f>R12+(S12^2*(N12*1000)^2/((96485^2)*U12))^(1/3)</f>
        <v/>
      </c>
      <c r="W12" s="36">
        <f>(V12/(Q12*50) + 1)^-1</f>
        <v/>
      </c>
      <c r="X12" s="33">
        <f>((3.14/4)*(96485^2)*U12/((N12*1000)^2))*(50-0.25*V12/Q12)^2</f>
        <v/>
      </c>
      <c r="Y12" s="33">
        <f>X12/P12</f>
        <v/>
      </c>
      <c r="Z12" s="37">
        <f>SQRT(1/Y12)</f>
        <v/>
      </c>
      <c r="AA12" s="38">
        <f>1 - SQRT(100/D12) + SQRT(100/D12 - 1)</f>
        <v/>
      </c>
    </row>
    <row r="13" customFormat="1" s="12">
      <c r="A13" s="15" t="inlineStr">
        <is>
          <t>200 mM NaClO4</t>
        </is>
      </c>
      <c r="B13" s="15" t="inlineStr">
        <is>
          <t>Ar, 100</t>
        </is>
      </c>
      <c r="C13" s="16" t="n">
        <v>3.5</v>
      </c>
      <c r="D13" s="16" t="n">
        <v>10</v>
      </c>
      <c r="E13" s="17" t="n">
        <v>5000</v>
      </c>
      <c r="F13" s="16" t="n">
        <v>14.7</v>
      </c>
      <c r="G13" s="15" t="n">
        <v>1.1</v>
      </c>
      <c r="H13" s="29">
        <f>G13/F13</f>
        <v/>
      </c>
      <c r="I13" s="16" t="n">
        <v>1.3</v>
      </c>
      <c r="J13" s="18" t="n">
        <v>2.0376</v>
      </c>
      <c r="K13" s="18" t="n">
        <v>0.1012</v>
      </c>
      <c r="L13" s="18" t="n">
        <v>0.0057</v>
      </c>
      <c r="M13" s="29">
        <f>L13/K13</f>
        <v/>
      </c>
      <c r="N13" s="15">
        <f>0.185*F13/K13</f>
        <v/>
      </c>
      <c r="O13" s="15" t="n"/>
      <c r="P13" s="17">
        <f>(1/E13)*(D13/100)</f>
        <v/>
      </c>
      <c r="Q13" s="17" t="n">
        <v>180000</v>
      </c>
      <c r="R13" s="17" t="n">
        <v>440000</v>
      </c>
      <c r="S13" s="17" t="n">
        <v>0</v>
      </c>
      <c r="T13" s="17" t="n">
        <v>6.4e-11</v>
      </c>
      <c r="U13" s="17" t="n">
        <v>7.2e-10</v>
      </c>
      <c r="V13" s="17">
        <f>R13+(S13^2*(N13*1000)^2/((96485^2)*U13))^(1/3)</f>
        <v/>
      </c>
      <c r="W13" s="25">
        <f>(V13/(Q13*50) + 1)^-1</f>
        <v/>
      </c>
      <c r="X13" s="17">
        <f>((3.14/4)*(96485^2)*U13/((N13*1000)^2))*(50-0.25*V13/Q13)^2</f>
        <v/>
      </c>
      <c r="Y13" s="17">
        <f>X13/P13</f>
        <v/>
      </c>
      <c r="Z13" s="23">
        <f>SQRT(1/Y13)</f>
        <v/>
      </c>
      <c r="AA13" s="27">
        <f>1 - SQRT(100/D13) + SQRT(100/D13 - 1)</f>
        <v/>
      </c>
    </row>
    <row r="14" customFormat="1" s="12">
      <c r="A14" s="15" t="inlineStr">
        <is>
          <t>200 mM NaClO4</t>
        </is>
      </c>
      <c r="B14" s="15" t="inlineStr">
        <is>
          <t>Ar, 100</t>
        </is>
      </c>
      <c r="C14" s="16" t="n">
        <v>3.8</v>
      </c>
      <c r="D14" s="16" t="n">
        <v>15</v>
      </c>
      <c r="E14" s="17" t="n">
        <v>5000</v>
      </c>
      <c r="F14" s="16" t="n">
        <v>13.4</v>
      </c>
      <c r="G14" s="15" t="n">
        <v>0.8</v>
      </c>
      <c r="H14" s="29">
        <f>G14/F14</f>
        <v/>
      </c>
      <c r="I14" s="16" t="n">
        <v>1.8</v>
      </c>
      <c r="J14" s="18" t="n">
        <v>2.0287</v>
      </c>
      <c r="K14" s="18" t="n">
        <v>0.0655</v>
      </c>
      <c r="L14" s="18" t="n">
        <v>0.0028</v>
      </c>
      <c r="M14" s="29">
        <f>L14/K14</f>
        <v/>
      </c>
      <c r="N14" s="15">
        <f>0.185*F14/K14</f>
        <v/>
      </c>
      <c r="O14" s="15" t="n"/>
      <c r="P14" s="17">
        <f>(1/E14)*(D14/100)</f>
        <v/>
      </c>
      <c r="Q14" s="17" t="n">
        <v>180000</v>
      </c>
      <c r="R14" s="17" t="n">
        <v>440000</v>
      </c>
      <c r="S14" s="17" t="n">
        <v>0</v>
      </c>
      <c r="T14" s="17" t="n">
        <v>6.4e-11</v>
      </c>
      <c r="U14" s="17" t="n">
        <v>7.2e-10</v>
      </c>
      <c r="V14" s="17">
        <f>R14+(S14^2*(N14*1000)^2/((96485^2)*U14))^(1/3)</f>
        <v/>
      </c>
      <c r="W14" s="25">
        <f>(V14/(Q14*50) + 1)^-1</f>
        <v/>
      </c>
      <c r="X14" s="17">
        <f>((3.14/4)*(96485^2)*U14/((N14*1000)^2))*(50-0.25*V14/Q14)^2</f>
        <v/>
      </c>
      <c r="Y14" s="17">
        <f>X14/P14</f>
        <v/>
      </c>
      <c r="Z14" s="23">
        <f>SQRT(1/Y14)</f>
        <v/>
      </c>
      <c r="AA14" s="27">
        <f>1 - SQRT(100/D14) + SQRT(100/D14 - 1)</f>
        <v/>
      </c>
    </row>
    <row r="15" customFormat="1" s="12">
      <c r="A15" s="15" t="inlineStr">
        <is>
          <t>200 mM NaClO4</t>
        </is>
      </c>
      <c r="B15" s="15" t="inlineStr">
        <is>
          <t>Ar, 100</t>
        </is>
      </c>
      <c r="C15" s="16" t="n">
        <v>4.4</v>
      </c>
      <c r="D15" s="16" t="n">
        <v>15</v>
      </c>
      <c r="E15" s="17" t="n">
        <v>6000</v>
      </c>
      <c r="F15" s="16" t="n">
        <v>14</v>
      </c>
      <c r="G15" s="15" t="n">
        <v>0.9</v>
      </c>
      <c r="H15" s="29">
        <f>G15/F15</f>
        <v/>
      </c>
      <c r="I15" s="16" t="n">
        <v>1.9</v>
      </c>
      <c r="J15" s="18" t="n">
        <v>2.0515</v>
      </c>
      <c r="K15" s="18" t="n">
        <v>0.08309999999999999</v>
      </c>
      <c r="L15" s="18" t="n">
        <v>0.0028</v>
      </c>
      <c r="M15" s="29">
        <f>L15/K15</f>
        <v/>
      </c>
      <c r="N15" s="15">
        <f>0.185*F15/K15</f>
        <v/>
      </c>
      <c r="O15" s="15" t="n"/>
      <c r="P15" s="17">
        <f>(1/E15)*(D15/100)</f>
        <v/>
      </c>
      <c r="Q15" s="17" t="n">
        <v>180000</v>
      </c>
      <c r="R15" s="17" t="n">
        <v>440000</v>
      </c>
      <c r="S15" s="17" t="n">
        <v>0</v>
      </c>
      <c r="T15" s="17" t="n">
        <v>6.4e-11</v>
      </c>
      <c r="U15" s="17" t="n">
        <v>7.2e-10</v>
      </c>
      <c r="V15" s="17">
        <f>R15+(S15^2*(N15*1000)^2/((96485^2)*U15))^(1/3)</f>
        <v/>
      </c>
      <c r="W15" s="25">
        <f>(V15/(Q15*50) + 1)^-1</f>
        <v/>
      </c>
      <c r="X15" s="17">
        <f>((3.14/4)*(96485^2)*U15/((N15*1000)^2))*(50-0.25*V15/Q15)^2</f>
        <v/>
      </c>
      <c r="Y15" s="17">
        <f>X15/P15</f>
        <v/>
      </c>
      <c r="Z15" s="23">
        <f>SQRT(1/Y15)</f>
        <v/>
      </c>
      <c r="AA15" s="27">
        <f>1 - SQRT(100/D15) + SQRT(100/D15 - 1)</f>
        <v/>
      </c>
    </row>
    <row r="16" customFormat="1" s="12">
      <c r="A16" s="15" t="inlineStr">
        <is>
          <t>200 mM NaClO4</t>
        </is>
      </c>
      <c r="B16" s="15" t="inlineStr">
        <is>
          <t>Ar, 100</t>
        </is>
      </c>
      <c r="C16" s="16" t="n">
        <v>5.3</v>
      </c>
      <c r="D16" s="16" t="n">
        <v>20</v>
      </c>
      <c r="E16" s="17" t="n">
        <v>9000</v>
      </c>
      <c r="F16" s="16" t="n">
        <v>11.9</v>
      </c>
      <c r="G16" s="15" t="n">
        <v>0.8</v>
      </c>
      <c r="H16" s="29">
        <f>G16/F16</f>
        <v/>
      </c>
      <c r="I16" s="16" t="n">
        <v>2.3</v>
      </c>
      <c r="J16" s="18" t="n">
        <v>2.047</v>
      </c>
      <c r="K16" s="18" t="n">
        <v>0.0814</v>
      </c>
      <c r="L16" s="18" t="n">
        <v>0.0018</v>
      </c>
      <c r="M16" s="29">
        <f>L16/K16</f>
        <v/>
      </c>
      <c r="N16" s="15">
        <f>0.185*F16/K16</f>
        <v/>
      </c>
      <c r="O16" s="15" t="n"/>
      <c r="P16" s="17">
        <f>(1/E16)*(D16/100)</f>
        <v/>
      </c>
      <c r="Q16" s="17" t="n">
        <v>180000</v>
      </c>
      <c r="R16" s="17" t="n">
        <v>440000</v>
      </c>
      <c r="S16" s="17" t="n">
        <v>0</v>
      </c>
      <c r="T16" s="17" t="n">
        <v>6.4e-11</v>
      </c>
      <c r="U16" s="17" t="n">
        <v>7.2e-10</v>
      </c>
      <c r="V16" s="17">
        <f>R16+(S16^2*(N16*1000)^2/((96485^2)*U16))^(1/3)</f>
        <v/>
      </c>
      <c r="W16" s="25">
        <f>(V16/(Q16*50) + 1)^-1</f>
        <v/>
      </c>
      <c r="X16" s="17">
        <f>((3.14/4)*(96485^2)*U16/((N16*1000)^2))*(50-0.25*V16/Q16)^2</f>
        <v/>
      </c>
      <c r="Y16" s="17">
        <f>X16/P16</f>
        <v/>
      </c>
      <c r="Z16" s="23">
        <f>SQRT(1/Y16)</f>
        <v/>
      </c>
      <c r="AA16" s="27">
        <f>1 - SQRT(100/D16) + SQRT(100/D16 - 1)</f>
        <v/>
      </c>
    </row>
    <row r="17" customFormat="1" s="12">
      <c r="A17" s="15" t="inlineStr">
        <is>
          <t>200 mM NaClO4</t>
        </is>
      </c>
      <c r="B17" s="15" t="inlineStr">
        <is>
          <t>Ar, 100</t>
        </is>
      </c>
      <c r="C17" s="16" t="n">
        <v>1.7</v>
      </c>
      <c r="D17" s="16" t="n">
        <v>10</v>
      </c>
      <c r="E17" s="17" t="n">
        <v>500</v>
      </c>
      <c r="F17" s="16" t="n">
        <v>16.6</v>
      </c>
      <c r="G17" s="15" t="n">
        <v>0.4</v>
      </c>
      <c r="H17" s="29">
        <f>G17/F17</f>
        <v/>
      </c>
      <c r="I17" s="16" t="n">
        <v>1.5</v>
      </c>
      <c r="J17" s="18" t="n">
        <v>2.0053</v>
      </c>
      <c r="K17" s="18" t="n">
        <v>0.1025</v>
      </c>
      <c r="L17" s="18" t="n">
        <v>0.0037</v>
      </c>
      <c r="M17" s="29">
        <f>L17/K17</f>
        <v/>
      </c>
      <c r="N17" s="15">
        <f>0.185*F17/K17</f>
        <v/>
      </c>
      <c r="O17" s="15" t="n"/>
      <c r="P17" s="17">
        <f>(1/E17)*(D17/100)</f>
        <v/>
      </c>
      <c r="Q17" s="17" t="n">
        <v>180000</v>
      </c>
      <c r="R17" s="17" t="n">
        <v>440000</v>
      </c>
      <c r="S17" s="17" t="n">
        <v>0</v>
      </c>
      <c r="T17" s="17" t="n">
        <v>6.4e-11</v>
      </c>
      <c r="U17" s="17" t="n">
        <v>7.2e-10</v>
      </c>
      <c r="V17" s="17">
        <f>R17+(S17^2*(N17*1000)^2/((96485^2)*U17))^(1/3)</f>
        <v/>
      </c>
      <c r="W17" s="25">
        <f>(V17/(Q17*50) + 1)^-1</f>
        <v/>
      </c>
      <c r="X17" s="17">
        <f>((3.14/4)*(96485^2)*U17/((N17*1000)^2))*(50-0.25*V17/Q17)^2</f>
        <v/>
      </c>
      <c r="Y17" s="17">
        <f>X17/P17</f>
        <v/>
      </c>
      <c r="Z17" s="23">
        <f>SQRT(1/Y17)</f>
        <v/>
      </c>
      <c r="AA17" s="27">
        <f>1 - SQRT(100/D17) + SQRT(100/D17 - 1)</f>
        <v/>
      </c>
    </row>
    <row r="18" customFormat="1" s="13">
      <c r="A18" s="19" t="inlineStr">
        <is>
          <t>200 mM NaClO4</t>
        </is>
      </c>
      <c r="B18" s="19" t="inlineStr">
        <is>
          <t>Ar, 100</t>
        </is>
      </c>
      <c r="C18" s="20" t="n">
        <v>3</v>
      </c>
      <c r="D18" s="20" t="n">
        <v>25</v>
      </c>
      <c r="E18" s="21" t="n">
        <v>500</v>
      </c>
      <c r="F18" s="20" t="n">
        <v>12.2</v>
      </c>
      <c r="G18" s="19" t="n">
        <v>0.6</v>
      </c>
      <c r="H18" s="30">
        <f>G18/F18</f>
        <v/>
      </c>
      <c r="I18" s="20" t="n">
        <v>2.3</v>
      </c>
      <c r="J18" s="22" t="n">
        <v>1.3895</v>
      </c>
      <c r="K18" s="22" t="n">
        <v>0.1249</v>
      </c>
      <c r="L18" s="22" t="n">
        <v>0.0014</v>
      </c>
      <c r="M18" s="30">
        <f>L18/K18</f>
        <v/>
      </c>
      <c r="N18" s="19">
        <f>0.185*F18/K18</f>
        <v/>
      </c>
      <c r="O18" s="19" t="n"/>
      <c r="P18" s="21">
        <f>(1/E18)*(D18/100)</f>
        <v/>
      </c>
      <c r="Q18" s="21" t="n">
        <v>180000</v>
      </c>
      <c r="R18" s="21" t="n">
        <v>440000</v>
      </c>
      <c r="S18" s="21" t="n">
        <v>0</v>
      </c>
      <c r="T18" s="21" t="n">
        <v>6.4e-11</v>
      </c>
      <c r="U18" s="21" t="n">
        <v>7.2e-10</v>
      </c>
      <c r="V18" s="21">
        <f>R18+(S18^2*(N18*1000)^2/((96485^2)*U18))^(1/3)</f>
        <v/>
      </c>
      <c r="W18" s="26">
        <f>(V18/(Q18*50) + 1)^-1</f>
        <v/>
      </c>
      <c r="X18" s="21">
        <f>((3.14/4)*(96485^2)*U18/((N18*1000)^2))*(50-0.25*V18/Q18)^2</f>
        <v/>
      </c>
      <c r="Y18" s="21">
        <f>X18/P18</f>
        <v/>
      </c>
      <c r="Z18" s="24">
        <f>SQRT(1/Y18)</f>
        <v/>
      </c>
      <c r="AA18" s="28">
        <f>1 - SQRT(100/D18) + SQRT(100/D18 - 1)</f>
        <v/>
      </c>
    </row>
    <row r="19" customFormat="1" s="13">
      <c r="A19" s="19" t="inlineStr">
        <is>
          <t>200 mM NaClO4</t>
        </is>
      </c>
      <c r="B19" s="19" t="inlineStr">
        <is>
          <t>Ar, 100</t>
        </is>
      </c>
      <c r="C19" s="20" t="n">
        <v>4.6</v>
      </c>
      <c r="D19" s="20" t="n">
        <v>50</v>
      </c>
      <c r="E19" s="21" t="n">
        <v>500</v>
      </c>
      <c r="F19" s="20" t="n">
        <v>10.3</v>
      </c>
      <c r="G19" s="19" t="n">
        <v>0.7</v>
      </c>
      <c r="H19" s="30">
        <f>G19/F19</f>
        <v/>
      </c>
      <c r="I19" s="20" t="n">
        <v>4.6</v>
      </c>
      <c r="J19" s="22" t="n">
        <v>1.3973</v>
      </c>
      <c r="K19" s="22" t="n">
        <v>0.1633</v>
      </c>
      <c r="L19" s="22" t="n">
        <v>0.0021</v>
      </c>
      <c r="M19" s="30">
        <f>L19/K19</f>
        <v/>
      </c>
      <c r="N19" s="19">
        <f>0.185*F19/K19</f>
        <v/>
      </c>
      <c r="O19" s="19" t="n"/>
      <c r="P19" s="21">
        <f>(1/E19)*(D19/100)</f>
        <v/>
      </c>
      <c r="Q19" s="21" t="n">
        <v>180000</v>
      </c>
      <c r="R19" s="21" t="n">
        <v>440000</v>
      </c>
      <c r="S19" s="21" t="n">
        <v>0</v>
      </c>
      <c r="T19" s="21" t="n">
        <v>6.4e-11</v>
      </c>
      <c r="U19" s="21" t="n">
        <v>7.2e-10</v>
      </c>
      <c r="V19" s="21">
        <f>R19+(S19^2*(N19*1000)^2/((96485^2)*U19))^(1/3)</f>
        <v/>
      </c>
      <c r="W19" s="26">
        <f>(V19/(Q19*50) + 1)^-1</f>
        <v/>
      </c>
      <c r="X19" s="21">
        <f>((3.14/4)*(96485^2)*U19/((N19*1000)^2))*(50-0.25*V19/Q19)^2</f>
        <v/>
      </c>
      <c r="Y19" s="21">
        <f>X19/P19</f>
        <v/>
      </c>
      <c r="Z19" s="24">
        <f>SQRT(1/Y19)</f>
        <v/>
      </c>
      <c r="AA19" s="28">
        <f>1 - SQRT(100/D19) + SQRT(100/D19 - 1)</f>
        <v/>
      </c>
    </row>
    <row r="20" customFormat="1" s="13">
      <c r="A20" s="19" t="inlineStr">
        <is>
          <t>200 mM NaClO4</t>
        </is>
      </c>
      <c r="B20" s="19" t="inlineStr">
        <is>
          <t>Ar, 100</t>
        </is>
      </c>
      <c r="C20" s="20" t="n">
        <v>5.5</v>
      </c>
      <c r="D20" s="20" t="n">
        <v>75</v>
      </c>
      <c r="E20" s="21" t="n">
        <v>5000</v>
      </c>
      <c r="F20" s="20" t="n"/>
      <c r="G20" s="19" t="n"/>
      <c r="H20" s="30" t="n"/>
      <c r="I20" s="20" t="n"/>
      <c r="J20" s="22" t="n">
        <v>1.4188</v>
      </c>
      <c r="K20" s="22" t="n">
        <v>0.1375</v>
      </c>
      <c r="L20" s="22" t="n">
        <v>0.0018</v>
      </c>
      <c r="M20" s="30">
        <f>L20/K20</f>
        <v/>
      </c>
      <c r="N20" s="19">
        <f>0.185*F20/K20</f>
        <v/>
      </c>
      <c r="O20" s="19" t="n"/>
      <c r="P20" s="21">
        <f>(1/E20)*(D20/100)</f>
        <v/>
      </c>
      <c r="Q20" s="21" t="n">
        <v>180000</v>
      </c>
      <c r="R20" s="21" t="n">
        <v>440000</v>
      </c>
      <c r="S20" s="21" t="n">
        <v>0</v>
      </c>
      <c r="T20" s="21" t="n">
        <v>6.4e-11</v>
      </c>
      <c r="U20" s="21" t="n">
        <v>7.2e-10</v>
      </c>
      <c r="V20" s="21" t="n"/>
      <c r="W20" s="26">
        <f>(V20/(Q20*50) + 1)^-1</f>
        <v/>
      </c>
      <c r="X20" s="21">
        <f>((3.14/4)*(96485^2)*U20/((N20*1000)^2))*(50-0.25*V20/Q20)^2</f>
        <v/>
      </c>
      <c r="Y20" s="21">
        <f>X20/P20</f>
        <v/>
      </c>
      <c r="Z20" s="24">
        <f>SQRT(1/Y20)</f>
        <v/>
      </c>
      <c r="AA20" s="28">
        <f>1 - SQRT(100/D20) + SQRT(100/D20 - 1)</f>
        <v/>
      </c>
    </row>
    <row r="21" customFormat="1" s="13">
      <c r="A21" s="19" t="inlineStr">
        <is>
          <t>200 mM NaClO4</t>
        </is>
      </c>
      <c r="B21" s="19" t="inlineStr">
        <is>
          <t>Ar, 100</t>
        </is>
      </c>
      <c r="C21" s="20" t="n">
        <v>5</v>
      </c>
      <c r="D21" s="20" t="n">
        <v>25</v>
      </c>
      <c r="E21" s="21" t="n">
        <v>1000</v>
      </c>
      <c r="F21" s="20" t="n">
        <v>19.3</v>
      </c>
      <c r="G21" s="19" t="n">
        <v>0.4</v>
      </c>
      <c r="H21" s="30">
        <f>G21/F21</f>
        <v/>
      </c>
      <c r="I21" s="20" t="n">
        <v>4.6</v>
      </c>
      <c r="J21" s="22" t="n">
        <v>1.339</v>
      </c>
      <c r="K21" s="22" t="n">
        <v>0.1508</v>
      </c>
      <c r="L21" s="22" t="n">
        <v>0.0017</v>
      </c>
      <c r="M21" s="30">
        <f>L21/K21</f>
        <v/>
      </c>
      <c r="N21" s="19">
        <f>0.185*F21/K21</f>
        <v/>
      </c>
      <c r="O21" s="19" t="n"/>
      <c r="P21" s="21">
        <f>(1/E21)*(D21/100)</f>
        <v/>
      </c>
      <c r="Q21" s="21" t="n">
        <v>180000</v>
      </c>
      <c r="R21" s="21" t="n">
        <v>440000</v>
      </c>
      <c r="S21" s="21" t="n">
        <v>0</v>
      </c>
      <c r="T21" s="21" t="n">
        <v>6.4e-11</v>
      </c>
      <c r="U21" s="21" t="n">
        <v>7.2e-10</v>
      </c>
      <c r="V21" s="21">
        <f>R21+(S21^2*(N21*1000)^2/((96485^2)*U21))^(1/3)</f>
        <v/>
      </c>
      <c r="W21" s="26">
        <f>(V21/(Q21*50) + 1)^-1</f>
        <v/>
      </c>
      <c r="X21" s="21">
        <f>((3.14/4)*(96485^2)*U21/((N21*1000)^2))*(50-0.25*V21/Q21)^2</f>
        <v/>
      </c>
      <c r="Y21" s="21">
        <f>X21/P21</f>
        <v/>
      </c>
      <c r="Z21" s="24">
        <f>SQRT(1/Y21)</f>
        <v/>
      </c>
      <c r="AA21" s="28">
        <f>1 - SQRT(100/D21) + SQRT(100/D21 - 1)</f>
        <v/>
      </c>
    </row>
    <row r="22" customFormat="1" s="13">
      <c r="A22" s="19" t="inlineStr">
        <is>
          <t>200 mM NaClO4</t>
        </is>
      </c>
      <c r="B22" s="19" t="inlineStr">
        <is>
          <t>Ar, 100</t>
        </is>
      </c>
      <c r="C22" s="20" t="n">
        <v>5</v>
      </c>
      <c r="D22" s="20" t="n">
        <v>50</v>
      </c>
      <c r="E22" s="21" t="n">
        <v>1000</v>
      </c>
      <c r="F22" s="20" t="n">
        <v>11.4</v>
      </c>
      <c r="G22" s="19" t="n">
        <v>0.3</v>
      </c>
      <c r="H22" s="30">
        <f>G22/F22</f>
        <v/>
      </c>
      <c r="I22" s="20" t="n">
        <v>5.6</v>
      </c>
      <c r="J22" s="22" t="n">
        <v>1.3587</v>
      </c>
      <c r="K22" s="22" t="n">
        <v>0.1361</v>
      </c>
      <c r="L22" s="22" t="n">
        <v>0.0013</v>
      </c>
      <c r="M22" s="30">
        <f>L22/K22</f>
        <v/>
      </c>
      <c r="N22" s="19">
        <f>0.185*F22/K22</f>
        <v/>
      </c>
      <c r="O22" s="19" t="n"/>
      <c r="P22" s="21">
        <f>(1/E22)*(D22/100)</f>
        <v/>
      </c>
      <c r="Q22" s="21" t="n">
        <v>180000</v>
      </c>
      <c r="R22" s="21" t="n">
        <v>440000</v>
      </c>
      <c r="S22" s="21" t="n">
        <v>0</v>
      </c>
      <c r="T22" s="21" t="n">
        <v>6.4e-11</v>
      </c>
      <c r="U22" s="21" t="n">
        <v>7.2e-10</v>
      </c>
      <c r="V22" s="21">
        <f>R22+(S22^2*(N22*1000)^2/((96485^2)*U22))^(1/3)</f>
        <v/>
      </c>
      <c r="W22" s="26">
        <f>(V22/(Q22*50) + 1)^-1</f>
        <v/>
      </c>
      <c r="X22" s="21">
        <f>((3.14/4)*(96485^2)*U22/((N22*1000)^2))*(50-0.25*V22/Q22)^2</f>
        <v/>
      </c>
      <c r="Y22" s="21">
        <f>X22/P22</f>
        <v/>
      </c>
      <c r="Z22" s="24">
        <f>SQRT(1/Y22)</f>
        <v/>
      </c>
      <c r="AA22" s="28">
        <f>1 - SQRT(100/D22) + SQRT(100/D22 - 1)</f>
        <v/>
      </c>
    </row>
    <row r="23" customFormat="1" s="13">
      <c r="A23" s="19" t="inlineStr">
        <is>
          <t>200 mM NaClO4</t>
        </is>
      </c>
      <c r="B23" s="19" t="inlineStr">
        <is>
          <t>Ar, 100</t>
        </is>
      </c>
      <c r="C23" s="20" t="n">
        <v>5</v>
      </c>
      <c r="D23" s="20" t="n">
        <v>50</v>
      </c>
      <c r="E23" s="21" t="n">
        <v>5000</v>
      </c>
      <c r="F23" s="20" t="n">
        <v>8.5</v>
      </c>
      <c r="G23" s="19" t="n">
        <v>0.9</v>
      </c>
      <c r="H23" s="30">
        <f>G23/F23</f>
        <v/>
      </c>
      <c r="I23" s="20" t="n">
        <v>3.8</v>
      </c>
      <c r="J23" s="22" t="n">
        <v>1.3959</v>
      </c>
      <c r="K23" s="22" t="n">
        <v>0.1058</v>
      </c>
      <c r="L23" s="22" t="n">
        <v>0.0012</v>
      </c>
      <c r="M23" s="30">
        <f>L23/K23</f>
        <v/>
      </c>
      <c r="N23" s="19">
        <f>0.185*F23/K23</f>
        <v/>
      </c>
      <c r="O23" s="19" t="n"/>
      <c r="P23" s="21">
        <f>(1/E23)*(D23/100)</f>
        <v/>
      </c>
      <c r="Q23" s="21" t="n">
        <v>180000</v>
      </c>
      <c r="R23" s="21" t="n">
        <v>440000</v>
      </c>
      <c r="S23" s="21" t="n">
        <v>0</v>
      </c>
      <c r="T23" s="21" t="n">
        <v>6.4e-11</v>
      </c>
      <c r="U23" s="21" t="n">
        <v>7.2e-10</v>
      </c>
      <c r="V23" s="21">
        <f>R23+(S23^2*(N23*1000)^2/((96485^2)*U23))^(1/3)</f>
        <v/>
      </c>
      <c r="W23" s="26">
        <f>(V23/(Q23*50) + 1)^-1</f>
        <v/>
      </c>
      <c r="X23" s="21">
        <f>((3.14/4)*(96485^2)*U23/((N23*1000)^2))*(50-0.25*V23/Q23)^2</f>
        <v/>
      </c>
      <c r="Y23" s="21">
        <f>X23/P23</f>
        <v/>
      </c>
      <c r="Z23" s="24">
        <f>SQRT(1/Y23)</f>
        <v/>
      </c>
      <c r="AA23" s="28">
        <f>1 - SQRT(100/D23) + SQRT(100/D23 - 1)</f>
        <v/>
      </c>
    </row>
    <row r="24" customFormat="1" s="13">
      <c r="A24" s="19" t="inlineStr">
        <is>
          <t>200 mM NaClO4</t>
        </is>
      </c>
      <c r="B24" s="19" t="inlineStr">
        <is>
          <t>Ar, 100</t>
        </is>
      </c>
      <c r="C24" s="20" t="n">
        <v>6.5</v>
      </c>
      <c r="D24" s="20" t="n">
        <v>90</v>
      </c>
      <c r="E24" s="21" t="n">
        <v>500</v>
      </c>
      <c r="F24" s="20" t="n">
        <v>8.6</v>
      </c>
      <c r="G24" s="19" t="n">
        <v>0.8</v>
      </c>
      <c r="H24" s="30">
        <f>G24/F24</f>
        <v/>
      </c>
      <c r="I24" s="20" t="n">
        <v>7.6</v>
      </c>
      <c r="J24" s="22" t="n">
        <v>1.3029</v>
      </c>
      <c r="K24" s="22" t="n">
        <v>0.1992</v>
      </c>
      <c r="L24" s="22" t="n">
        <v>0.0034</v>
      </c>
      <c r="M24" s="30">
        <f>L24/K24</f>
        <v/>
      </c>
      <c r="N24" s="19">
        <f>0.185*F24/K24</f>
        <v/>
      </c>
      <c r="O24" s="19" t="n"/>
      <c r="P24" s="21">
        <f>(1/E24)*(D24/100)</f>
        <v/>
      </c>
      <c r="Q24" s="21" t="n">
        <v>180000</v>
      </c>
      <c r="R24" s="21" t="n">
        <v>440000</v>
      </c>
      <c r="S24" s="21" t="n">
        <v>0</v>
      </c>
      <c r="T24" s="21" t="n">
        <v>6.4e-11</v>
      </c>
      <c r="U24" s="21" t="n">
        <v>7.2e-10</v>
      </c>
      <c r="V24" s="21">
        <f>R24+(S24^2*(N24*1000)^2/((96485^2)*U24))^(1/3)</f>
        <v/>
      </c>
      <c r="W24" s="26">
        <f>(V24/(Q24*50) + 1)^-1</f>
        <v/>
      </c>
      <c r="X24" s="21">
        <f>((3.14/4)*(96485^2)*U24/((N24*1000)^2))*(50-0.25*V24/Q24)^2</f>
        <v/>
      </c>
      <c r="Y24" s="21">
        <f>X24/P24</f>
        <v/>
      </c>
      <c r="Z24" s="24">
        <f>SQRT(1/Y24)</f>
        <v/>
      </c>
      <c r="AA24" s="28">
        <f>1 - SQRT(100/D24) + SQRT(100/D24 - 1)</f>
        <v/>
      </c>
    </row>
    <row r="25" customFormat="1" s="13">
      <c r="A25" s="19" t="inlineStr">
        <is>
          <t>200 mM NaClO4</t>
        </is>
      </c>
      <c r="B25" s="19" t="inlineStr">
        <is>
          <t>Ar, 100</t>
        </is>
      </c>
      <c r="C25" s="20" t="n">
        <v>6</v>
      </c>
      <c r="D25" s="20" t="n">
        <v>50</v>
      </c>
      <c r="E25" s="21" t="n">
        <v>9000</v>
      </c>
      <c r="F25" s="20" t="n">
        <v>8.300000000000001</v>
      </c>
      <c r="G25" s="19" t="n">
        <v>0.9</v>
      </c>
      <c r="H25" s="30">
        <f>G25/F25</f>
        <v/>
      </c>
      <c r="I25" s="20" t="n">
        <v>3.6</v>
      </c>
      <c r="J25" s="22" t="n">
        <v>1.3882</v>
      </c>
      <c r="K25" s="22" t="n">
        <v>0.0851</v>
      </c>
      <c r="L25" s="22" t="n">
        <v>0.001</v>
      </c>
      <c r="M25" s="30">
        <f>L25/K25</f>
        <v/>
      </c>
      <c r="N25" s="19">
        <f>0.185*F25/K25</f>
        <v/>
      </c>
      <c r="O25" s="19" t="n"/>
      <c r="P25" s="21">
        <f>(1/E25)*(D25/100)</f>
        <v/>
      </c>
      <c r="Q25" s="21" t="n">
        <v>180000</v>
      </c>
      <c r="R25" s="21" t="n">
        <v>440000</v>
      </c>
      <c r="S25" s="21" t="n">
        <v>0</v>
      </c>
      <c r="T25" s="21" t="n">
        <v>6.4e-11</v>
      </c>
      <c r="U25" s="21" t="n">
        <v>7.2e-10</v>
      </c>
      <c r="V25" s="21">
        <f>R25+(S25^2*(N25*1000)^2/((96485^2)*U25))^(1/3)</f>
        <v/>
      </c>
      <c r="W25" s="26">
        <f>(V25/(Q25*50) + 1)^-1</f>
        <v/>
      </c>
      <c r="X25" s="21">
        <f>((3.14/4)*(96485^2)*U25/((N25*1000)^2))*(50-0.25*V25/Q25)^2</f>
        <v/>
      </c>
      <c r="Y25" s="21">
        <f>X25/P25</f>
        <v/>
      </c>
      <c r="Z25" s="24">
        <f>SQRT(1/Y25)</f>
        <v/>
      </c>
      <c r="AA25" s="28">
        <f>1 - SQRT(100/D25) + SQRT(100/D25 - 1)</f>
        <v/>
      </c>
    </row>
    <row r="26" customFormat="1" s="13">
      <c r="A26" s="19" t="inlineStr">
        <is>
          <t>200 mM NaClO4</t>
        </is>
      </c>
      <c r="B26" s="19" t="inlineStr">
        <is>
          <t>Ar, 100</t>
        </is>
      </c>
      <c r="C26" s="20" t="n">
        <v>6</v>
      </c>
      <c r="D26" s="20" t="n">
        <v>75</v>
      </c>
      <c r="E26" s="21" t="n">
        <v>1000</v>
      </c>
      <c r="F26" s="20" t="n">
        <v>9.1</v>
      </c>
      <c r="G26" s="19" t="n">
        <v>0.9</v>
      </c>
      <c r="H26" s="30">
        <f>G26/F26</f>
        <v/>
      </c>
      <c r="I26" s="20" t="n">
        <v>6.6</v>
      </c>
      <c r="J26" s="22" t="n">
        <v>1.3419</v>
      </c>
      <c r="K26" s="22" t="n">
        <v>0.1888</v>
      </c>
      <c r="L26" s="22" t="n">
        <v>0.0037</v>
      </c>
      <c r="M26" s="30">
        <f>L26/K26</f>
        <v/>
      </c>
      <c r="N26" s="19">
        <f>0.185*F26/K26</f>
        <v/>
      </c>
      <c r="O26" s="19" t="n"/>
      <c r="P26" s="21">
        <f>(1/E26)*(D26/100)</f>
        <v/>
      </c>
      <c r="Q26" s="21" t="n">
        <v>180000</v>
      </c>
      <c r="R26" s="21" t="n">
        <v>440000</v>
      </c>
      <c r="S26" s="21" t="n">
        <v>0</v>
      </c>
      <c r="T26" s="21" t="n">
        <v>6.4e-11</v>
      </c>
      <c r="U26" s="21" t="n">
        <v>7.2e-10</v>
      </c>
      <c r="V26" s="21">
        <f>R26+(S26^2*(N26*1000)^2/((96485^2)*U26))^(1/3)</f>
        <v/>
      </c>
      <c r="W26" s="26">
        <f>(V26/(Q26*50) + 1)^-1</f>
        <v/>
      </c>
      <c r="X26" s="21">
        <f>((3.14/4)*(96485^2)*U26/((N26*1000)^2))*(50-0.25*V26/Q26)^2</f>
        <v/>
      </c>
      <c r="Y26" s="21">
        <f>X26/P26</f>
        <v/>
      </c>
      <c r="Z26" s="24">
        <f>SQRT(1/Y26)</f>
        <v/>
      </c>
      <c r="AA26" s="28">
        <f>1 - SQRT(100/D26) + SQRT(100/D26 - 1)</f>
        <v/>
      </c>
    </row>
    <row r="27" customFormat="1" s="13">
      <c r="A27" s="19" t="inlineStr">
        <is>
          <t>200 mM NaClO4</t>
        </is>
      </c>
      <c r="B27" s="19" t="inlineStr">
        <is>
          <t>Ar, 100</t>
        </is>
      </c>
      <c r="C27" s="20" t="n">
        <v>7.2</v>
      </c>
      <c r="D27" s="20" t="n">
        <v>90</v>
      </c>
      <c r="E27" s="21" t="n">
        <v>60</v>
      </c>
      <c r="F27" s="20" t="n">
        <v>9.699999999999999</v>
      </c>
      <c r="G27" s="19" t="n">
        <v>0.9</v>
      </c>
      <c r="H27" s="30">
        <f>G27/F27</f>
        <v/>
      </c>
      <c r="I27" s="20" t="n">
        <v>8.6</v>
      </c>
      <c r="J27" s="22" t="n">
        <v>1.3882</v>
      </c>
      <c r="K27" s="22" t="n">
        <v>0.2476</v>
      </c>
      <c r="L27" s="22" t="n">
        <v>0.0065</v>
      </c>
      <c r="M27" s="30">
        <f>L27/K27</f>
        <v/>
      </c>
      <c r="N27" s="19">
        <f>0.185*F27/K27</f>
        <v/>
      </c>
      <c r="O27" s="19" t="n"/>
      <c r="P27" s="21">
        <f>(1/E27)*(D27/100)</f>
        <v/>
      </c>
      <c r="Q27" s="21" t="n">
        <v>180000</v>
      </c>
      <c r="R27" s="21" t="n">
        <v>440000</v>
      </c>
      <c r="S27" s="21" t="n">
        <v>0</v>
      </c>
      <c r="T27" s="21" t="n">
        <v>6.4e-11</v>
      </c>
      <c r="U27" s="21" t="n">
        <v>7.2e-10</v>
      </c>
      <c r="V27" s="21">
        <f>R27+(S27^2*(N27*1000)^2/((96485^2)*U27))^(1/3)</f>
        <v/>
      </c>
      <c r="W27" s="26">
        <f>(V27/(Q27*50) + 1)^-1</f>
        <v/>
      </c>
      <c r="X27" s="21">
        <f>((3.14/4)*(96485^2)*U27/((N27*1000)^2))*(50-0.25*V27/Q27)^2</f>
        <v/>
      </c>
      <c r="Y27" s="21">
        <f>X27/P27</f>
        <v/>
      </c>
      <c r="Z27" s="24">
        <f>SQRT(1/Y27)</f>
        <v/>
      </c>
      <c r="AA27" s="28">
        <f>1 - SQRT(100/D27) + SQRT(100/D27 - 1)</f>
        <v/>
      </c>
    </row>
    <row r="28">
      <c r="K28" s="5" t="n"/>
      <c r="L28" s="5" t="n"/>
      <c r="M28" s="5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</row>
    <row r="29">
      <c r="L29" s="5" t="n"/>
      <c r="M29" s="5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</row>
    <row r="30"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</row>
    <row r="31"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</row>
    <row r="32"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</row>
    <row r="33"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</row>
    <row r="34"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</row>
    <row r="35"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</row>
    <row r="36"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</row>
    <row r="37"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</row>
    <row r="38"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</row>
    <row r="39"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</row>
    <row r="40"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</row>
    <row r="41"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</row>
    <row r="42"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</row>
    <row r="43"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</row>
    <row r="44"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</row>
    <row r="45"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</row>
    <row r="46"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60"/>
  <sheetViews>
    <sheetView zoomScale="140" workbookViewId="0">
      <pane ySplit="1" topLeftCell="A40" activePane="bottomLeft" state="frozen"/>
      <selection pane="bottomLeft" activeCell="B10" sqref="B10:C10"/>
    </sheetView>
  </sheetViews>
  <sheetFormatPr baseColWidth="10" defaultColWidth="8.83203125" defaultRowHeight="15"/>
  <cols>
    <col width="23" customWidth="1" style="46" min="1" max="1"/>
    <col width="16.6640625" customWidth="1" style="46" min="2" max="2"/>
    <col width="15.6640625" customWidth="1" style="46" min="3" max="3"/>
    <col width="18.83203125" customWidth="1" style="46" min="4" max="4"/>
    <col width="25.6640625" customWidth="1" style="46" min="5" max="6"/>
    <col hidden="1" width="22.6640625" customWidth="1" style="46" min="7" max="7"/>
    <col width="22.6640625" customWidth="1" style="46" min="8" max="11"/>
    <col width="32" customWidth="1" style="46" min="12" max="12"/>
    <col hidden="1" width="35.5" customWidth="1" style="46" min="13" max="13"/>
    <col width="16.33203125" customWidth="1" style="46" min="14" max="14"/>
    <col width="29.5" customWidth="1" style="46" min="15" max="15"/>
    <col width="36.5" customWidth="1" style="46" min="16" max="16"/>
    <col width="41" customWidth="1" style="46" min="17" max="17"/>
    <col width="31.1640625" customWidth="1" style="46" min="18" max="18"/>
    <col width="23.83203125" customWidth="1" style="46" min="19" max="19"/>
    <col width="33.1640625" customWidth="1" style="46" min="20" max="20"/>
    <col width="32.1640625" customWidth="1" style="46" min="21" max="21"/>
    <col width="22" customWidth="1" style="46" min="22" max="22"/>
    <col width="16.33203125" customWidth="1" style="46" min="23" max="23"/>
    <col width="18" customWidth="1" style="46" min="24" max="24"/>
    <col width="16.5" customWidth="1" style="46" min="25" max="25"/>
    <col width="8.83203125" customWidth="1" style="46" min="26" max="28"/>
    <col width="8.83203125" customWidth="1" style="46" min="29" max="16384"/>
  </cols>
  <sheetData>
    <row r="1">
      <c r="A1" s="14" t="inlineStr">
        <is>
          <t>HVDC Set Current (mA)</t>
        </is>
      </c>
      <c r="B1" s="14" t="inlineStr">
        <is>
          <t>Duty Cycle (%)</t>
        </is>
      </c>
      <c r="C1" s="14" t="inlineStr">
        <is>
          <t>Frequency (Hz)</t>
        </is>
      </c>
      <c r="D1" s="14" t="inlineStr">
        <is>
          <t>Peak Current (mA)</t>
        </is>
      </c>
      <c r="E1" s="14" t="inlineStr">
        <is>
          <t>Peak Current Err (mA, 95%)</t>
        </is>
      </c>
      <c r="F1" s="14" t="inlineStr">
        <is>
          <t>Rel Peak Current Err (95%)</t>
        </is>
      </c>
      <c r="G1" s="14" t="inlineStr">
        <is>
          <t>Avg Current (mA)</t>
        </is>
      </c>
      <c r="H1" s="14" t="inlineStr">
        <is>
          <t>Height (mm)</t>
        </is>
      </c>
      <c r="I1" s="14" t="inlineStr">
        <is>
          <t>Area (mm^2)</t>
        </is>
      </c>
      <c r="J1" s="14" t="inlineStr">
        <is>
          <t>Area Err (mm^2, 95%)</t>
        </is>
      </c>
      <c r="K1" s="14" t="inlineStr">
        <is>
          <t>Rel Area Err (95%)</t>
        </is>
      </c>
      <c r="L1" s="14" t="inlineStr">
        <is>
          <t>Peak Current Density (mA/mm^2)</t>
        </is>
      </c>
      <c r="M1" s="14" t="inlineStr">
        <is>
          <t>Peak Current Density Err (mA/mm^2)</t>
        </is>
      </c>
      <c r="N1" s="14" t="inlineStr">
        <is>
          <t>On Time (s)</t>
        </is>
      </c>
      <c r="O1" s="14" t="inlineStr">
        <is>
          <t>Sub Rate Const (m^3/mol-s)</t>
        </is>
      </c>
      <c r="P1" s="14" t="inlineStr">
        <is>
          <t>1st-Order Recomb Const (1/s)</t>
        </is>
      </c>
      <c r="Q1" s="14" t="inlineStr">
        <is>
          <t>2nd-Order Recomb Const (m^3/mol-s)</t>
        </is>
      </c>
      <c r="R1" s="14" t="inlineStr">
        <is>
          <t>Sub Diffusivity (m^2/s)</t>
        </is>
      </c>
      <c r="S1" s="14" t="inlineStr">
        <is>
          <t>e- Diffusivity (m^2/s)</t>
        </is>
      </c>
      <c r="T1" s="14" t="inlineStr">
        <is>
          <t>Effective Recomb Const (1/s)</t>
        </is>
      </c>
      <c r="U1" s="14" t="inlineStr">
        <is>
          <t>Max Inst. Sel (%)</t>
        </is>
      </c>
      <c r="V1" s="14" t="inlineStr">
        <is>
          <t>50% Depletion Time (s)</t>
        </is>
      </c>
      <c r="W1" s="14" t="inlineStr">
        <is>
          <t>Allowed/On Time</t>
        </is>
      </c>
      <c r="X1" s="14" t="inlineStr">
        <is>
          <t>Degree Depletion</t>
        </is>
      </c>
      <c r="Y1" s="14" t="inlineStr">
        <is>
          <t>Degree Recovery</t>
        </is>
      </c>
    </row>
    <row r="2" customFormat="1" s="15">
      <c r="A2" s="16" t="n">
        <v>1.3</v>
      </c>
      <c r="B2" s="16" t="n">
        <v>5</v>
      </c>
      <c r="C2" s="17" t="n">
        <v>1000</v>
      </c>
      <c r="D2" s="16" t="n">
        <v>17.3</v>
      </c>
      <c r="E2" s="16" t="n">
        <v>0.8</v>
      </c>
      <c r="F2" s="29">
        <f>E2/D2</f>
        <v/>
      </c>
      <c r="G2" s="16" t="n">
        <v>0.6</v>
      </c>
      <c r="H2" s="18" t="n">
        <v>1.9857</v>
      </c>
      <c r="I2" s="18" t="n">
        <v>0.0785</v>
      </c>
      <c r="J2" s="15" t="n">
        <v>0.0035</v>
      </c>
      <c r="K2" s="29">
        <f>J2/I2</f>
        <v/>
      </c>
      <c r="L2" s="15">
        <f>D2/I2</f>
        <v/>
      </c>
      <c r="N2" s="17">
        <f>(1/C2)*(B2/100)</f>
        <v/>
      </c>
      <c r="O2" s="17" t="n">
        <v>1500000</v>
      </c>
      <c r="P2" s="17" t="n">
        <v>1000</v>
      </c>
      <c r="Q2" s="17" t="n">
        <v>5500000</v>
      </c>
      <c r="R2" s="17" t="n">
        <v>1.1e-09</v>
      </c>
      <c r="S2" s="17" t="n">
        <v>4.9e-09</v>
      </c>
      <c r="T2" s="17">
        <f>P2+(Q2^2*(L2*1000)^2/((96485^2)*S2))^(1/3)</f>
        <v/>
      </c>
      <c r="U2" s="25">
        <f>(T2/(O2*50) + 1)^-1</f>
        <v/>
      </c>
      <c r="V2" s="17">
        <f>((3.14/4)*(96485^2)*S2/((L2*1000)^2))*(50-T2/O2)^2</f>
        <v/>
      </c>
      <c r="W2" s="17">
        <f>V2/N2</f>
        <v/>
      </c>
      <c r="X2" s="23">
        <f>SQRT(1/W2)</f>
        <v/>
      </c>
      <c r="Y2" s="27">
        <f>1 - SQRT(100/B2) + SQRT(100/B2 - 1)</f>
        <v/>
      </c>
    </row>
    <row r="3" customFormat="1" s="15">
      <c r="A3" s="16" t="n">
        <v>1.8</v>
      </c>
      <c r="B3" s="16" t="n">
        <v>10</v>
      </c>
      <c r="C3" s="17" t="n">
        <v>1000</v>
      </c>
      <c r="D3" s="16" t="n">
        <v>15</v>
      </c>
      <c r="E3" s="16" t="n">
        <v>0.6</v>
      </c>
      <c r="F3" s="29">
        <f>E3/D3</f>
        <v/>
      </c>
      <c r="G3" s="16" t="n">
        <v>1.3</v>
      </c>
      <c r="H3" s="18" t="n">
        <v>2.0185</v>
      </c>
      <c r="I3" s="18" t="n">
        <v>0.0707</v>
      </c>
      <c r="J3" s="15" t="n">
        <v>0.0027</v>
      </c>
      <c r="K3" s="29">
        <f>J3/I3</f>
        <v/>
      </c>
      <c r="L3" s="15">
        <f>D3/I3</f>
        <v/>
      </c>
      <c r="N3" s="17">
        <f>(1/C3)*(B3/100)</f>
        <v/>
      </c>
      <c r="O3" s="17" t="n">
        <v>1500000</v>
      </c>
      <c r="P3" s="17" t="n">
        <v>1000</v>
      </c>
      <c r="Q3" s="17" t="n">
        <v>5500000</v>
      </c>
      <c r="R3" s="17" t="n">
        <v>1.1e-09</v>
      </c>
      <c r="S3" s="17" t="n">
        <v>4.9e-09</v>
      </c>
      <c r="T3" s="17">
        <f>P3+(Q3^2*(L3*1000)^2/((96485^2)*S3))^(1/3)</f>
        <v/>
      </c>
      <c r="U3" s="25">
        <f>(T3/(O3*50) + 1)^-1</f>
        <v/>
      </c>
      <c r="V3" s="17">
        <f>((3.14/4)*(96485^2)*S3/((L3*1000)^2))*(50-T3/O3)^2</f>
        <v/>
      </c>
      <c r="W3" s="17">
        <f>V3/N3</f>
        <v/>
      </c>
      <c r="X3" s="23">
        <f>SQRT(1/W3)</f>
        <v/>
      </c>
      <c r="Y3" s="27">
        <f>1 - SQRT(100/B3) + SQRT(100/B3 - 1)</f>
        <v/>
      </c>
    </row>
    <row r="4" customFormat="1" s="15">
      <c r="A4" s="16" t="n">
        <v>4.8</v>
      </c>
      <c r="B4" s="16" t="n">
        <v>50</v>
      </c>
      <c r="C4" s="17" t="n">
        <v>1000</v>
      </c>
      <c r="D4" s="16" t="n">
        <v>14.2</v>
      </c>
      <c r="E4" s="16" t="n">
        <v>0.3</v>
      </c>
      <c r="F4" s="29">
        <f>E4/D4</f>
        <v/>
      </c>
      <c r="G4" s="16" t="n">
        <v>7</v>
      </c>
      <c r="H4" s="18" t="n">
        <v>1.898</v>
      </c>
      <c r="I4" s="18" t="n">
        <v>0.21</v>
      </c>
      <c r="J4" s="15" t="n">
        <v>0.0062</v>
      </c>
      <c r="K4" s="29">
        <f>J4/I4</f>
        <v/>
      </c>
      <c r="L4" s="15">
        <f>D4/I4</f>
        <v/>
      </c>
      <c r="N4" s="17">
        <f>(1/C4)*(B4/100)</f>
        <v/>
      </c>
      <c r="O4" s="17" t="n">
        <v>1500000</v>
      </c>
      <c r="P4" s="17" t="n">
        <v>1000</v>
      </c>
      <c r="Q4" s="17" t="n">
        <v>5500000</v>
      </c>
      <c r="R4" s="17" t="n">
        <v>1.1e-09</v>
      </c>
      <c r="S4" s="17" t="n">
        <v>4.9e-09</v>
      </c>
      <c r="T4" s="17">
        <f>P4+(Q4^2*(L4*1000)^2/((96485^2)*S4))^(1/3)</f>
        <v/>
      </c>
      <c r="U4" s="25">
        <f>(T4/(O4*50) + 1)^-1</f>
        <v/>
      </c>
      <c r="V4" s="17">
        <f>((3.14/4)*(96485^2)*S4/((L4*1000)^2))*(50-T4/O4)^2</f>
        <v/>
      </c>
      <c r="W4" s="17">
        <f>V4/N4</f>
        <v/>
      </c>
      <c r="X4" s="23">
        <f>SQRT(1/W4)</f>
        <v/>
      </c>
      <c r="Y4" s="27">
        <f>1 - SQRT(100/B4) + SQRT(100/B4 - 1)</f>
        <v/>
      </c>
    </row>
    <row r="5" customFormat="1" s="15">
      <c r="A5" s="16" t="n">
        <v>8</v>
      </c>
      <c r="B5" s="16" t="n">
        <v>50</v>
      </c>
      <c r="C5" s="17" t="n">
        <v>1000</v>
      </c>
      <c r="D5" s="16" t="n">
        <v>17.1</v>
      </c>
      <c r="E5" s="16" t="n">
        <v>0.3</v>
      </c>
      <c r="F5" s="29">
        <f>E5/D5</f>
        <v/>
      </c>
      <c r="G5" s="16" t="n">
        <v>8.4</v>
      </c>
      <c r="H5" s="18" t="n">
        <v>1.9036</v>
      </c>
      <c r="I5" s="18" t="n">
        <v>0.2445</v>
      </c>
      <c r="J5" s="15" t="n">
        <v>0.0083</v>
      </c>
      <c r="K5" s="29">
        <f>J5/I5</f>
        <v/>
      </c>
      <c r="L5" s="15">
        <f>D5/I5</f>
        <v/>
      </c>
      <c r="N5" s="17">
        <f>(1/C5)*(B5/100)</f>
        <v/>
      </c>
      <c r="O5" s="17" t="n">
        <v>1500000</v>
      </c>
      <c r="P5" s="17" t="n">
        <v>1000</v>
      </c>
      <c r="Q5" s="17" t="n">
        <v>5500000</v>
      </c>
      <c r="R5" s="17" t="n">
        <v>1.1e-09</v>
      </c>
      <c r="S5" s="17" t="n">
        <v>4.9e-09</v>
      </c>
      <c r="T5" s="17">
        <f>P5+(Q5^2*(L5*1000)^2/((96485^2)*S5))^(1/3)</f>
        <v/>
      </c>
      <c r="U5" s="25">
        <f>(T5/(O5*50) + 1)^-1</f>
        <v/>
      </c>
      <c r="V5" s="17">
        <f>((3.14/4)*(96485^2)*S5/((L5*1000)^2))*(50-T5/O5)^2</f>
        <v/>
      </c>
      <c r="W5" s="17">
        <f>V5/N5</f>
        <v/>
      </c>
      <c r="X5" s="23">
        <f>SQRT(1/W5)</f>
        <v/>
      </c>
      <c r="Y5" s="27">
        <f>1 - SQRT(100/B5) + SQRT(100/B5 - 1)</f>
        <v/>
      </c>
    </row>
    <row r="6" customFormat="1" s="15">
      <c r="A6" s="16" t="n">
        <v>2.4</v>
      </c>
      <c r="B6" s="16" t="n">
        <v>5</v>
      </c>
      <c r="C6" s="17" t="n">
        <v>2000</v>
      </c>
      <c r="D6" s="16" t="n">
        <v>22.2</v>
      </c>
      <c r="E6" s="16" t="n">
        <v>1.2</v>
      </c>
      <c r="F6" s="29">
        <f>E6/D6</f>
        <v/>
      </c>
      <c r="G6" s="16" t="n">
        <v>0.9</v>
      </c>
      <c r="H6" s="18" t="n">
        <v>1.9774</v>
      </c>
      <c r="I6" s="18" t="n">
        <v>0.1183</v>
      </c>
      <c r="J6" s="15" t="n">
        <v>0.0044</v>
      </c>
      <c r="K6" s="29">
        <f>J6/I6</f>
        <v/>
      </c>
      <c r="L6" s="15">
        <f>D6/I6</f>
        <v/>
      </c>
      <c r="N6" s="17">
        <f>(1/C6)*(B6/100)</f>
        <v/>
      </c>
      <c r="O6" s="17" t="n">
        <v>1500000</v>
      </c>
      <c r="P6" s="17" t="n">
        <v>1000</v>
      </c>
      <c r="Q6" s="17" t="n">
        <v>5500000</v>
      </c>
      <c r="R6" s="17" t="n">
        <v>1.1e-09</v>
      </c>
      <c r="S6" s="17" t="n">
        <v>4.9e-09</v>
      </c>
      <c r="T6" s="17">
        <f>P6+(Q6^2*(L6*1000)^2/((96485^2)*S6))^(1/3)</f>
        <v/>
      </c>
      <c r="U6" s="25">
        <f>(T6/(O6*50) + 1)^-1</f>
        <v/>
      </c>
      <c r="V6" s="17">
        <f>((3.14/4)*(96485^2)*S6/((L6*1000)^2))*(50-T6/O6)^2</f>
        <v/>
      </c>
      <c r="W6" s="17">
        <f>V6/N6</f>
        <v/>
      </c>
      <c r="X6" s="23">
        <f>SQRT(1/W6)</f>
        <v/>
      </c>
      <c r="Y6" s="27">
        <f>1 - SQRT(100/B6) + SQRT(100/B6 - 1)</f>
        <v/>
      </c>
    </row>
    <row r="7" customFormat="1" s="15">
      <c r="A7" s="16" t="n">
        <v>3.5</v>
      </c>
      <c r="B7" s="16" t="n">
        <v>10</v>
      </c>
      <c r="C7" s="17" t="n">
        <v>2000</v>
      </c>
      <c r="D7" s="16" t="n">
        <v>23.1</v>
      </c>
      <c r="E7" s="16" t="n">
        <v>0.9</v>
      </c>
      <c r="F7" s="29">
        <f>E7/D7</f>
        <v/>
      </c>
      <c r="G7" s="16" t="n">
        <v>2.1</v>
      </c>
      <c r="H7" s="18" t="n">
        <v>2.0148</v>
      </c>
      <c r="I7" s="18" t="n">
        <v>0.1041</v>
      </c>
      <c r="J7" s="15" t="n">
        <v>0.0032</v>
      </c>
      <c r="K7" s="29">
        <f>J7/I7</f>
        <v/>
      </c>
      <c r="L7" s="15">
        <f>D7/I7</f>
        <v/>
      </c>
      <c r="N7" s="17">
        <f>(1/C7)*(B7/100)</f>
        <v/>
      </c>
      <c r="O7" s="17" t="n">
        <v>1500000</v>
      </c>
      <c r="P7" s="17" t="n">
        <v>1000</v>
      </c>
      <c r="Q7" s="17" t="n">
        <v>5500000</v>
      </c>
      <c r="R7" s="17" t="n">
        <v>1.1e-09</v>
      </c>
      <c r="S7" s="17" t="n">
        <v>4.9e-09</v>
      </c>
      <c r="T7" s="17">
        <f>P7+(Q7^2*(L7*1000)^2/((96485^2)*S7))^(1/3)</f>
        <v/>
      </c>
      <c r="U7" s="25">
        <f>(T7/(O7*50) + 1)^-1</f>
        <v/>
      </c>
      <c r="V7" s="17">
        <f>((3.14/4)*(96485^2)*S7/((L7*1000)^2))*(50-T7/O7)^2</f>
        <v/>
      </c>
      <c r="W7" s="17">
        <f>V7/N7</f>
        <v/>
      </c>
      <c r="X7" s="23">
        <f>SQRT(1/W7)</f>
        <v/>
      </c>
      <c r="Y7" s="27">
        <f>1 - SQRT(100/B7) + SQRT(100/B7 - 1)</f>
        <v/>
      </c>
    </row>
    <row r="8" customFormat="1" s="15">
      <c r="A8" s="16" t="n">
        <v>2.8</v>
      </c>
      <c r="B8" s="16" t="n">
        <v>15</v>
      </c>
      <c r="C8" s="17" t="n">
        <v>2000</v>
      </c>
      <c r="D8" s="16" t="n">
        <v>14.9</v>
      </c>
      <c r="E8" s="16" t="n">
        <v>0.6</v>
      </c>
      <c r="F8" s="29">
        <f>E8/D8</f>
        <v/>
      </c>
      <c r="G8" s="16" t="n">
        <v>2.1</v>
      </c>
      <c r="H8" s="18" t="n">
        <v>2.0097</v>
      </c>
      <c r="I8" s="18" t="n">
        <v>0.06279999999999999</v>
      </c>
      <c r="J8" s="15" t="n">
        <v>0.0024</v>
      </c>
      <c r="K8" s="29">
        <f>J8/I8</f>
        <v/>
      </c>
      <c r="L8" s="15">
        <f>D8/I8</f>
        <v/>
      </c>
      <c r="N8" s="17">
        <f>(1/C8)*(B8/100)</f>
        <v/>
      </c>
      <c r="O8" s="17" t="n">
        <v>1500000</v>
      </c>
      <c r="P8" s="17" t="n">
        <v>1000</v>
      </c>
      <c r="Q8" s="17" t="n">
        <v>5500000</v>
      </c>
      <c r="R8" s="17" t="n">
        <v>1.1e-09</v>
      </c>
      <c r="S8" s="17" t="n">
        <v>4.9e-09</v>
      </c>
      <c r="T8" s="17">
        <f>P8+(Q8^2*(L8*1000)^2/((96485^2)*S8))^(1/3)</f>
        <v/>
      </c>
      <c r="U8" s="25">
        <f>(T8/(O8*50) + 1)^-1</f>
        <v/>
      </c>
      <c r="V8" s="17">
        <f>((3.14/4)*(96485^2)*S8/((L8*1000)^2))*(50-T8/O8)^2</f>
        <v/>
      </c>
      <c r="W8" s="17">
        <f>V8/N8</f>
        <v/>
      </c>
      <c r="X8" s="23">
        <f>SQRT(1/W8)</f>
        <v/>
      </c>
      <c r="Y8" s="27">
        <f>1 - SQRT(100/B8) + SQRT(100/B8 - 1)</f>
        <v/>
      </c>
    </row>
    <row r="9" customFormat="1" s="15">
      <c r="A9" s="16" t="n">
        <v>5</v>
      </c>
      <c r="B9" s="16" t="n">
        <v>15</v>
      </c>
      <c r="C9" s="17" t="n">
        <v>2000</v>
      </c>
      <c r="D9" s="16" t="n">
        <v>25</v>
      </c>
      <c r="E9" s="16" t="n">
        <v>0.8</v>
      </c>
      <c r="F9" s="29">
        <f>E9/D9</f>
        <v/>
      </c>
      <c r="G9" s="16" t="n">
        <v>3.6</v>
      </c>
      <c r="H9" s="18" t="n">
        <v>2.0192</v>
      </c>
      <c r="I9" s="18" t="n">
        <v>0.1565</v>
      </c>
      <c r="J9" s="15" t="n">
        <v>0.0033</v>
      </c>
      <c r="K9" s="29">
        <f>J9/I9</f>
        <v/>
      </c>
      <c r="L9" s="15">
        <f>D9/I9</f>
        <v/>
      </c>
      <c r="N9" s="17">
        <f>(1/C9)*(B9/100)</f>
        <v/>
      </c>
      <c r="O9" s="17" t="n">
        <v>1500000</v>
      </c>
      <c r="P9" s="17" t="n">
        <v>1000</v>
      </c>
      <c r="Q9" s="17" t="n">
        <v>5500000</v>
      </c>
      <c r="R9" s="17" t="n">
        <v>1.1e-09</v>
      </c>
      <c r="S9" s="17" t="n">
        <v>4.9e-09</v>
      </c>
      <c r="T9" s="17">
        <f>P9+(Q9^2*(L9*1000)^2/((96485^2)*S9))^(1/3)</f>
        <v/>
      </c>
      <c r="U9" s="25">
        <f>(T9/(O9*50) + 1)^-1</f>
        <v/>
      </c>
      <c r="V9" s="17">
        <f>((3.14/4)*(96485^2)*S9/((L9*1000)^2))*(50-T9/O9)^2</f>
        <v/>
      </c>
      <c r="W9" s="17">
        <f>V9/N9</f>
        <v/>
      </c>
      <c r="X9" s="23">
        <f>SQRT(1/W9)</f>
        <v/>
      </c>
      <c r="Y9" s="27">
        <f>1 - SQRT(100/B9) + SQRT(100/B9 - 1)</f>
        <v/>
      </c>
    </row>
    <row r="10" customFormat="1" s="15">
      <c r="A10" s="16" t="n">
        <v>3.4</v>
      </c>
      <c r="B10" s="16" t="n">
        <v>5</v>
      </c>
      <c r="C10" s="17" t="n">
        <v>4000</v>
      </c>
      <c r="D10" s="16" t="n">
        <v>20.8</v>
      </c>
      <c r="E10" s="16" t="n">
        <v>1.5</v>
      </c>
      <c r="F10" s="29">
        <f>E10/D10</f>
        <v/>
      </c>
      <c r="G10" s="16" t="n">
        <v>0.8</v>
      </c>
      <c r="H10" s="18" t="n">
        <v>1.9913</v>
      </c>
      <c r="I10" s="18" t="n">
        <v>0.2143</v>
      </c>
      <c r="J10" s="15" t="n">
        <v>0.0074</v>
      </c>
      <c r="K10" s="29">
        <f>J10/I10</f>
        <v/>
      </c>
      <c r="L10" s="15">
        <f>D10/I10</f>
        <v/>
      </c>
      <c r="N10" s="17">
        <f>(1/C10)*(B10/100)</f>
        <v/>
      </c>
      <c r="O10" s="17" t="n">
        <v>1500000</v>
      </c>
      <c r="P10" s="17" t="n">
        <v>1000</v>
      </c>
      <c r="Q10" s="17" t="n">
        <v>5500000</v>
      </c>
      <c r="R10" s="17" t="n">
        <v>1.1e-09</v>
      </c>
      <c r="S10" s="17" t="n">
        <v>4.9e-09</v>
      </c>
      <c r="T10" s="17">
        <f>P10+(Q10^2*(L10*1000)^2/((96485^2)*S10))^(1/3)</f>
        <v/>
      </c>
      <c r="U10" s="25">
        <f>(T10/(O10*50) + 1)^-1</f>
        <v/>
      </c>
      <c r="V10" s="17">
        <f>((3.14/4)*(96485^2)*S10/((L10*1000)^2))*(50-T10/O10)^2</f>
        <v/>
      </c>
      <c r="W10" s="17">
        <f>V10/N10</f>
        <v/>
      </c>
      <c r="X10" s="23">
        <f>SQRT(1/W10)</f>
        <v/>
      </c>
      <c r="Y10" s="27">
        <f>1 - SQRT(100/B10) + SQRT(100/B10 - 1)</f>
        <v/>
      </c>
    </row>
    <row r="11" customFormat="1" s="15">
      <c r="A11" s="16" t="n">
        <v>3.5</v>
      </c>
      <c r="B11" s="16" t="n">
        <v>10</v>
      </c>
      <c r="C11" s="17" t="n">
        <v>4000</v>
      </c>
      <c r="D11" s="16" t="n">
        <v>16.7</v>
      </c>
      <c r="E11" s="16" t="n">
        <v>0.9</v>
      </c>
      <c r="F11" s="29">
        <f>E11/D11</f>
        <v/>
      </c>
      <c r="G11" s="16" t="n">
        <v>1.5</v>
      </c>
      <c r="H11" s="18" t="n">
        <v>2.0426</v>
      </c>
      <c r="I11" s="18" t="n">
        <v>0.1155</v>
      </c>
      <c r="J11" s="18" t="n">
        <v>0.0041</v>
      </c>
      <c r="K11" s="29">
        <f>J11/I11</f>
        <v/>
      </c>
      <c r="L11" s="15">
        <f>D11/I11</f>
        <v/>
      </c>
      <c r="N11" s="17">
        <f>(1/C11)*(B11/100)</f>
        <v/>
      </c>
      <c r="O11" s="17" t="n">
        <v>1500000</v>
      </c>
      <c r="P11" s="17" t="n">
        <v>1000</v>
      </c>
      <c r="Q11" s="17" t="n">
        <v>5500000</v>
      </c>
      <c r="R11" s="17" t="n">
        <v>1.1e-09</v>
      </c>
      <c r="S11" s="17" t="n">
        <v>4.9e-09</v>
      </c>
      <c r="T11" s="17">
        <f>P11+(Q11^2*(L11*1000)^2/((96485^2)*S11))^(1/3)</f>
        <v/>
      </c>
      <c r="U11" s="25">
        <f>(T11/(O11*50) + 1)^-1</f>
        <v/>
      </c>
      <c r="V11" s="17">
        <f>((3.14/4)*(96485^2)*S11/((L11*1000)^2))*(50-T11/O11)^2</f>
        <v/>
      </c>
      <c r="W11" s="17">
        <f>V11/N11</f>
        <v/>
      </c>
      <c r="X11" s="23">
        <f>SQRT(1/W11)</f>
        <v/>
      </c>
      <c r="Y11" s="27">
        <f>1 - SQRT(100/B11) + SQRT(100/B11 - 1)</f>
        <v/>
      </c>
    </row>
    <row r="12" customFormat="1" s="15">
      <c r="A12" s="16" t="n">
        <v>3.4</v>
      </c>
      <c r="B12" s="16" t="n">
        <v>5</v>
      </c>
      <c r="C12" s="17" t="n">
        <v>5000</v>
      </c>
      <c r="D12" s="16" t="n">
        <v>17.4</v>
      </c>
      <c r="E12" s="16" t="n">
        <v>1.5</v>
      </c>
      <c r="F12" s="29">
        <f>E12/D12</f>
        <v/>
      </c>
      <c r="G12" s="16" t="n">
        <v>0.7</v>
      </c>
      <c r="H12" s="18" t="n">
        <v>2.0515</v>
      </c>
      <c r="I12" s="18" t="n">
        <v>0.2011</v>
      </c>
      <c r="J12" s="18" t="n">
        <v>0.0055</v>
      </c>
      <c r="K12" s="29">
        <f>J12/I12</f>
        <v/>
      </c>
      <c r="L12" s="15">
        <f>D12/I12</f>
        <v/>
      </c>
      <c r="N12" s="17">
        <f>(1/C12)*(B12/100)</f>
        <v/>
      </c>
      <c r="O12" s="17" t="n">
        <v>1500000</v>
      </c>
      <c r="P12" s="17" t="n">
        <v>1000</v>
      </c>
      <c r="Q12" s="17" t="n">
        <v>5500000</v>
      </c>
      <c r="R12" s="17" t="n">
        <v>1.1e-09</v>
      </c>
      <c r="S12" s="17" t="n">
        <v>4.9e-09</v>
      </c>
      <c r="T12" s="17">
        <f>P12+(Q12^2*(L12*1000)^2/((96485^2)*S12))^(1/3)</f>
        <v/>
      </c>
      <c r="U12" s="25">
        <f>(T12/(O12*50) + 1)^-1</f>
        <v/>
      </c>
      <c r="V12" s="17">
        <f>((3.14/4)*(96485^2)*S12/((L12*1000)^2))*(50-T12/O12)^2</f>
        <v/>
      </c>
      <c r="W12" s="17">
        <f>V12/N12</f>
        <v/>
      </c>
      <c r="X12" s="23">
        <f>SQRT(1/W12)</f>
        <v/>
      </c>
      <c r="Y12" s="27">
        <f>1 - SQRT(100/B12) + SQRT(100/B12 - 1)</f>
        <v/>
      </c>
    </row>
    <row r="13" customFormat="1" s="15">
      <c r="A13" s="16" t="n">
        <v>3.5</v>
      </c>
      <c r="B13" s="16" t="n">
        <v>10</v>
      </c>
      <c r="C13" s="17" t="n">
        <v>5000</v>
      </c>
      <c r="D13" s="16" t="n">
        <v>14.7</v>
      </c>
      <c r="E13" s="16" t="n">
        <v>1.1</v>
      </c>
      <c r="F13" s="29">
        <f>E13/D13</f>
        <v/>
      </c>
      <c r="G13" s="16" t="n">
        <v>1.3</v>
      </c>
      <c r="H13" s="18" t="n">
        <v>2.0376</v>
      </c>
      <c r="I13" s="18" t="n">
        <v>0.1012</v>
      </c>
      <c r="J13" s="18" t="n">
        <v>0.0057</v>
      </c>
      <c r="K13" s="29">
        <f>J13/I13</f>
        <v/>
      </c>
      <c r="L13" s="15">
        <f>D13/I13</f>
        <v/>
      </c>
      <c r="N13" s="17">
        <f>(1/C13)*(B13/100)</f>
        <v/>
      </c>
      <c r="O13" s="17" t="n">
        <v>1500000</v>
      </c>
      <c r="P13" s="17" t="n">
        <v>1000</v>
      </c>
      <c r="Q13" s="17" t="n">
        <v>5500000</v>
      </c>
      <c r="R13" s="17" t="n">
        <v>1.1e-09</v>
      </c>
      <c r="S13" s="17" t="n">
        <v>4.9e-09</v>
      </c>
      <c r="T13" s="17">
        <f>P13+(Q13^2*(L13*1000)^2/((96485^2)*S13))^(1/3)</f>
        <v/>
      </c>
      <c r="U13" s="25">
        <f>(T13/(O13*50) + 1)^-1</f>
        <v/>
      </c>
      <c r="V13" s="17">
        <f>((3.14/4)*(96485^2)*S13/((L13*1000)^2))*(50-T13/O13)^2</f>
        <v/>
      </c>
      <c r="W13" s="17">
        <f>V13/N13</f>
        <v/>
      </c>
      <c r="X13" s="23">
        <f>SQRT(1/W13)</f>
        <v/>
      </c>
      <c r="Y13" s="27">
        <f>1 - SQRT(100/B13) + SQRT(100/B13 - 1)</f>
        <v/>
      </c>
    </row>
    <row r="14" customFormat="1" s="15">
      <c r="A14" s="16" t="n">
        <v>3.8</v>
      </c>
      <c r="B14" s="16" t="n">
        <v>15</v>
      </c>
      <c r="C14" s="17" t="n">
        <v>5000</v>
      </c>
      <c r="D14" s="16" t="n">
        <v>13.4</v>
      </c>
      <c r="E14" s="16" t="n">
        <v>0.8</v>
      </c>
      <c r="F14" s="29">
        <f>E14/D14</f>
        <v/>
      </c>
      <c r="G14" s="16" t="n">
        <v>1.8</v>
      </c>
      <c r="H14" s="18" t="n">
        <v>2.0287</v>
      </c>
      <c r="I14" s="18" t="n">
        <v>0.0655</v>
      </c>
      <c r="J14" s="18" t="n">
        <v>0.0028</v>
      </c>
      <c r="K14" s="29">
        <f>J14/I14</f>
        <v/>
      </c>
      <c r="L14" s="15">
        <f>D14/I14</f>
        <v/>
      </c>
      <c r="N14" s="17">
        <f>(1/C14)*(B14/100)</f>
        <v/>
      </c>
      <c r="O14" s="17" t="n">
        <v>1500000</v>
      </c>
      <c r="P14" s="17" t="n">
        <v>1000</v>
      </c>
      <c r="Q14" s="17" t="n">
        <v>5500000</v>
      </c>
      <c r="R14" s="17" t="n">
        <v>1.1e-09</v>
      </c>
      <c r="S14" s="17" t="n">
        <v>4.9e-09</v>
      </c>
      <c r="T14" s="17">
        <f>P14+(Q14^2*(L14*1000)^2/((96485^2)*S14))^(1/3)</f>
        <v/>
      </c>
      <c r="U14" s="25">
        <f>(T14/(O14*50) + 1)^-1</f>
        <v/>
      </c>
      <c r="V14" s="17">
        <f>((3.14/4)*(96485^2)*S14/((L14*1000)^2))*(50-T14/O14)^2</f>
        <v/>
      </c>
      <c r="W14" s="17">
        <f>V14/N14</f>
        <v/>
      </c>
      <c r="X14" s="23">
        <f>SQRT(1/W14)</f>
        <v/>
      </c>
      <c r="Y14" s="27">
        <f>1 - SQRT(100/B14) + SQRT(100/B14 - 1)</f>
        <v/>
      </c>
    </row>
    <row r="15" customFormat="1" s="15">
      <c r="A15" s="16" t="n">
        <v>4.4</v>
      </c>
      <c r="B15" s="16" t="n">
        <v>15</v>
      </c>
      <c r="C15" s="17" t="n">
        <v>6000</v>
      </c>
      <c r="D15" s="16" t="n">
        <v>14</v>
      </c>
      <c r="E15" s="16" t="n">
        <v>0.9</v>
      </c>
      <c r="F15" s="29">
        <f>E15/D15</f>
        <v/>
      </c>
      <c r="G15" s="16" t="n">
        <v>1.9</v>
      </c>
      <c r="H15" s="18" t="n">
        <v>2.0515</v>
      </c>
      <c r="I15" s="18" t="n">
        <v>0.08309999999999999</v>
      </c>
      <c r="J15" s="18" t="n">
        <v>0.0028</v>
      </c>
      <c r="K15" s="29">
        <f>J15/I15</f>
        <v/>
      </c>
      <c r="L15" s="15">
        <f>D15/I15</f>
        <v/>
      </c>
      <c r="N15" s="17">
        <f>(1/C15)*(B15/100)</f>
        <v/>
      </c>
      <c r="O15" s="17" t="n">
        <v>1500000</v>
      </c>
      <c r="P15" s="17" t="n">
        <v>1000</v>
      </c>
      <c r="Q15" s="17" t="n">
        <v>5500000</v>
      </c>
      <c r="R15" s="17" t="n">
        <v>1.1e-09</v>
      </c>
      <c r="S15" s="17" t="n">
        <v>4.9e-09</v>
      </c>
      <c r="T15" s="17">
        <f>P15+(Q15^2*(L15*1000)^2/((96485^2)*S15))^(1/3)</f>
        <v/>
      </c>
      <c r="U15" s="25">
        <f>(T15/(O15*50) + 1)^-1</f>
        <v/>
      </c>
      <c r="V15" s="17">
        <f>((3.14/4)*(96485^2)*S15/((L15*1000)^2))*(50-T15/O15)^2</f>
        <v/>
      </c>
      <c r="W15" s="17">
        <f>V15/N15</f>
        <v/>
      </c>
      <c r="X15" s="23">
        <f>SQRT(1/W15)</f>
        <v/>
      </c>
      <c r="Y15" s="27">
        <f>1 - SQRT(100/B15) + SQRT(100/B15 - 1)</f>
        <v/>
      </c>
    </row>
    <row r="16" customFormat="1" s="15">
      <c r="A16" s="16" t="n">
        <v>5.3</v>
      </c>
      <c r="B16" s="16" t="n">
        <v>20</v>
      </c>
      <c r="C16" s="17" t="n">
        <v>9000</v>
      </c>
      <c r="D16" s="16" t="n">
        <v>11.9</v>
      </c>
      <c r="E16" s="16" t="n">
        <v>0.8</v>
      </c>
      <c r="F16" s="29">
        <f>E16/D16</f>
        <v/>
      </c>
      <c r="G16" s="16" t="n">
        <v>2.3</v>
      </c>
      <c r="H16" s="18" t="n">
        <v>2.047</v>
      </c>
      <c r="I16" s="18" t="n">
        <v>0.0814</v>
      </c>
      <c r="J16" s="18" t="n">
        <v>0.0018</v>
      </c>
      <c r="K16" s="29">
        <f>J16/I16</f>
        <v/>
      </c>
      <c r="L16" s="15">
        <f>D16/I16</f>
        <v/>
      </c>
      <c r="N16" s="17">
        <f>(1/C16)*(B16/100)</f>
        <v/>
      </c>
      <c r="O16" s="17" t="n">
        <v>1500000</v>
      </c>
      <c r="P16" s="17" t="n">
        <v>1000</v>
      </c>
      <c r="Q16" s="17" t="n">
        <v>5500000</v>
      </c>
      <c r="R16" s="17" t="n">
        <v>1.1e-09</v>
      </c>
      <c r="S16" s="17" t="n">
        <v>4.9e-09</v>
      </c>
      <c r="T16" s="17">
        <f>P16+(Q16^2*(L16*1000)^2/((96485^2)*S16))^(1/3)</f>
        <v/>
      </c>
      <c r="U16" s="25">
        <f>(T16/(O16*50) + 1)^-1</f>
        <v/>
      </c>
      <c r="V16" s="17">
        <f>((3.14/4)*(96485^2)*S16/((L16*1000)^2))*(50-T16/O16)^2</f>
        <v/>
      </c>
      <c r="W16" s="17">
        <f>V16/N16</f>
        <v/>
      </c>
      <c r="X16" s="23">
        <f>SQRT(1/W16)</f>
        <v/>
      </c>
      <c r="Y16" s="27">
        <f>1 - SQRT(100/B16) + SQRT(100/B16 - 1)</f>
        <v/>
      </c>
    </row>
    <row r="17" customFormat="1" s="15">
      <c r="A17" s="16" t="n">
        <v>1.7</v>
      </c>
      <c r="B17" s="16" t="n">
        <v>10</v>
      </c>
      <c r="C17" s="17" t="n">
        <v>500</v>
      </c>
      <c r="D17" s="16" t="n">
        <v>16.6</v>
      </c>
      <c r="E17" s="16" t="n">
        <v>0.4</v>
      </c>
      <c r="F17" s="29">
        <f>E17/D17</f>
        <v/>
      </c>
      <c r="G17" s="16" t="n">
        <v>1.5</v>
      </c>
      <c r="H17" s="18" t="n">
        <v>2.0053</v>
      </c>
      <c r="I17" s="18" t="n">
        <v>0.1025</v>
      </c>
      <c r="J17" s="18" t="n">
        <v>0.0037</v>
      </c>
      <c r="K17" s="29">
        <f>J17/I17</f>
        <v/>
      </c>
      <c r="L17" s="15">
        <f>D17/I17</f>
        <v/>
      </c>
      <c r="N17" s="17">
        <f>(1/C17)*(B17/100)</f>
        <v/>
      </c>
      <c r="O17" s="17" t="n">
        <v>1500000</v>
      </c>
      <c r="P17" s="17" t="n">
        <v>1000</v>
      </c>
      <c r="Q17" s="17" t="n">
        <v>5500000</v>
      </c>
      <c r="R17" s="17" t="n">
        <v>1.1e-09</v>
      </c>
      <c r="S17" s="17" t="n">
        <v>4.9e-09</v>
      </c>
      <c r="T17" s="17">
        <f>P17+(Q17^2*(L17*1000)^2/((96485^2)*S17))^(1/3)</f>
        <v/>
      </c>
      <c r="U17" s="25">
        <f>(T17/(O17*50) + 1)^-1</f>
        <v/>
      </c>
      <c r="V17" s="17">
        <f>((3.14/4)*(96485^2)*S17/((L17*1000)^2))*(50-T17/O17)^2</f>
        <v/>
      </c>
      <c r="W17" s="17">
        <f>V17/N17</f>
        <v/>
      </c>
      <c r="X17" s="23">
        <f>SQRT(1/W17)</f>
        <v/>
      </c>
      <c r="Y17" s="27">
        <f>1 - SQRT(100/B17) + SQRT(100/B17 - 1)</f>
        <v/>
      </c>
    </row>
    <row r="18" customFormat="1" s="19">
      <c r="A18" s="20" t="n">
        <v>3</v>
      </c>
      <c r="B18" s="20" t="n">
        <v>25</v>
      </c>
      <c r="C18" s="21" t="n">
        <v>500</v>
      </c>
      <c r="D18" s="20" t="n">
        <v>12.2</v>
      </c>
      <c r="E18" s="20" t="n">
        <v>0.6</v>
      </c>
      <c r="F18" s="30">
        <f>E18/D18</f>
        <v/>
      </c>
      <c r="G18" s="20" t="n">
        <v>2.3</v>
      </c>
      <c r="H18" s="22" t="n">
        <v>1.3895</v>
      </c>
      <c r="I18" s="22" t="n">
        <v>0.1249</v>
      </c>
      <c r="J18" s="22" t="n">
        <v>0.0014</v>
      </c>
      <c r="K18" s="30">
        <f>J18/I18</f>
        <v/>
      </c>
      <c r="L18" s="19">
        <f>D18/I18</f>
        <v/>
      </c>
      <c r="N18" s="21">
        <f>(1/C18)*(B18/100)</f>
        <v/>
      </c>
      <c r="O18" s="21" t="n">
        <v>1500000</v>
      </c>
      <c r="P18" s="21" t="n">
        <v>1000</v>
      </c>
      <c r="Q18" s="21" t="n">
        <v>5500000</v>
      </c>
      <c r="R18" s="21" t="n">
        <v>1.1e-09</v>
      </c>
      <c r="S18" s="21" t="n">
        <v>4.9e-09</v>
      </c>
      <c r="T18" s="21">
        <f>P18+(Q18^2*(L18*1000)^2/((96485^2)*S18))^(1/3)</f>
        <v/>
      </c>
      <c r="U18" s="26">
        <f>(T18/(O18*50) + 1)^-1</f>
        <v/>
      </c>
      <c r="V18" s="21">
        <f>((3.14/4)*(96485^2)*S18/((L18*1000)^2))*(50-T18/O18)^2</f>
        <v/>
      </c>
      <c r="W18" s="21">
        <f>V18/N18</f>
        <v/>
      </c>
      <c r="X18" s="24">
        <f>SQRT(1/W18)</f>
        <v/>
      </c>
      <c r="Y18" s="28">
        <f>1 - SQRT(100/B18) + SQRT(100/B18 - 1)</f>
        <v/>
      </c>
    </row>
    <row r="19" customFormat="1" s="19">
      <c r="A19" s="20" t="n">
        <v>4.6</v>
      </c>
      <c r="B19" s="20" t="n">
        <v>50</v>
      </c>
      <c r="C19" s="21" t="n">
        <v>500</v>
      </c>
      <c r="D19" s="20" t="n">
        <v>10.3</v>
      </c>
      <c r="E19" s="20" t="n">
        <v>0.7</v>
      </c>
      <c r="F19" s="30">
        <f>E19/D19</f>
        <v/>
      </c>
      <c r="G19" s="20" t="n">
        <v>4.6</v>
      </c>
      <c r="H19" s="22" t="n">
        <v>1.3973</v>
      </c>
      <c r="I19" s="22" t="n">
        <v>0.1633</v>
      </c>
      <c r="J19" s="22" t="n">
        <v>0.0021</v>
      </c>
      <c r="K19" s="30">
        <f>J19/I19</f>
        <v/>
      </c>
      <c r="L19" s="19">
        <f>D19/I19</f>
        <v/>
      </c>
      <c r="N19" s="21">
        <f>(1/C19)*(B19/100)</f>
        <v/>
      </c>
      <c r="O19" s="21" t="n">
        <v>1500000</v>
      </c>
      <c r="P19" s="21" t="n">
        <v>1000</v>
      </c>
      <c r="Q19" s="21" t="n">
        <v>5500000</v>
      </c>
      <c r="R19" s="21" t="n">
        <v>1.1e-09</v>
      </c>
      <c r="S19" s="21" t="n">
        <v>4.9e-09</v>
      </c>
      <c r="T19" s="21">
        <f>P19+(Q19^2*(L19*1000)^2/((96485^2)*S19))^(1/3)</f>
        <v/>
      </c>
      <c r="U19" s="26">
        <f>(T19/(O19*50) + 1)^-1</f>
        <v/>
      </c>
      <c r="V19" s="21">
        <f>((3.14/4)*(96485^2)*S19/((L19*1000)^2))*(50-T19/O19)^2</f>
        <v/>
      </c>
      <c r="W19" s="21">
        <f>V19/N19</f>
        <v/>
      </c>
      <c r="X19" s="24">
        <f>SQRT(1/W19)</f>
        <v/>
      </c>
      <c r="Y19" s="28">
        <f>1 - SQRT(100/B19) + SQRT(100/B19 - 1)</f>
        <v/>
      </c>
    </row>
    <row r="20" customFormat="1" s="19">
      <c r="A20" s="20" t="n">
        <v>5.5</v>
      </c>
      <c r="B20" s="20" t="n">
        <v>75</v>
      </c>
      <c r="C20" s="21" t="n">
        <v>5000</v>
      </c>
      <c r="D20" s="20" t="n"/>
      <c r="E20" s="20" t="n"/>
      <c r="F20" s="30" t="n"/>
      <c r="G20" s="20" t="n"/>
      <c r="H20" s="22" t="n">
        <v>1.4188</v>
      </c>
      <c r="I20" s="22" t="n">
        <v>0.1375</v>
      </c>
      <c r="J20" s="22" t="n">
        <v>0.0018</v>
      </c>
      <c r="K20" s="30">
        <f>J20/I20</f>
        <v/>
      </c>
      <c r="L20" s="19">
        <f>D20/I20</f>
        <v/>
      </c>
      <c r="N20" s="21">
        <f>(1/C20)*(B20/100)</f>
        <v/>
      </c>
      <c r="O20" s="21" t="n">
        <v>1500000</v>
      </c>
      <c r="P20" s="21" t="n">
        <v>1000</v>
      </c>
      <c r="Q20" s="21" t="n">
        <v>5500000</v>
      </c>
      <c r="R20" s="21" t="n">
        <v>1.1e-09</v>
      </c>
      <c r="S20" s="21" t="n">
        <v>4.9e-09</v>
      </c>
      <c r="T20" s="21" t="n"/>
      <c r="U20" s="26">
        <f>(T20/(O20*50) + 1)^-1</f>
        <v/>
      </c>
      <c r="V20" s="21">
        <f>((3.14/4)*(96485^2)*S20/((L20*1000)^2))*(50-T20/O20)^2</f>
        <v/>
      </c>
      <c r="W20" s="21">
        <f>V20/N20</f>
        <v/>
      </c>
      <c r="X20" s="24">
        <f>SQRT(1/W20)</f>
        <v/>
      </c>
      <c r="Y20" s="28">
        <f>1 - SQRT(100/B20) + SQRT(100/B20 - 1)</f>
        <v/>
      </c>
    </row>
    <row r="21" customFormat="1" s="19">
      <c r="A21" s="20" t="n">
        <v>5</v>
      </c>
      <c r="B21" s="20" t="n">
        <v>25</v>
      </c>
      <c r="C21" s="21" t="n">
        <v>1000</v>
      </c>
      <c r="D21" s="20" t="n">
        <v>19.3</v>
      </c>
      <c r="E21" s="20" t="n">
        <v>0.4</v>
      </c>
      <c r="F21" s="30">
        <f>E21/D21</f>
        <v/>
      </c>
      <c r="G21" s="20" t="n">
        <v>4.6</v>
      </c>
      <c r="H21" s="22" t="n">
        <v>1.339</v>
      </c>
      <c r="I21" s="22" t="n">
        <v>0.1508</v>
      </c>
      <c r="J21" s="22" t="n">
        <v>0.0017</v>
      </c>
      <c r="K21" s="30">
        <f>J21/I21</f>
        <v/>
      </c>
      <c r="L21" s="19">
        <f>D21/I21</f>
        <v/>
      </c>
      <c r="N21" s="21">
        <f>(1/C21)*(B21/100)</f>
        <v/>
      </c>
      <c r="O21" s="21" t="n">
        <v>1500000</v>
      </c>
      <c r="P21" s="21" t="n">
        <v>1000</v>
      </c>
      <c r="Q21" s="21" t="n">
        <v>5500000</v>
      </c>
      <c r="R21" s="21" t="n">
        <v>1.1e-09</v>
      </c>
      <c r="S21" s="21" t="n">
        <v>4.9e-09</v>
      </c>
      <c r="T21" s="21">
        <f>P21+(Q21^2*(L21*1000)^2/((96485^2)*S21))^(1/3)</f>
        <v/>
      </c>
      <c r="U21" s="26">
        <f>(T21/(O21*50) + 1)^-1</f>
        <v/>
      </c>
      <c r="V21" s="21">
        <f>((3.14/4)*(96485^2)*S21/((L21*1000)^2))*(50-T21/O21)^2</f>
        <v/>
      </c>
      <c r="W21" s="21">
        <f>V21/N21</f>
        <v/>
      </c>
      <c r="X21" s="24">
        <f>SQRT(1/W21)</f>
        <v/>
      </c>
      <c r="Y21" s="28">
        <f>1 - SQRT(100/B21) + SQRT(100/B21 - 1)</f>
        <v/>
      </c>
    </row>
    <row r="22" customFormat="1" s="19">
      <c r="A22" s="20" t="n">
        <v>5</v>
      </c>
      <c r="B22" s="20" t="n">
        <v>50</v>
      </c>
      <c r="C22" s="21" t="n">
        <v>1000</v>
      </c>
      <c r="D22" s="20" t="n">
        <v>11.4</v>
      </c>
      <c r="E22" s="20" t="n">
        <v>0.3</v>
      </c>
      <c r="F22" s="30">
        <f>E22/D22</f>
        <v/>
      </c>
      <c r="G22" s="20" t="n">
        <v>5.6</v>
      </c>
      <c r="H22" s="22" t="n">
        <v>1.3587</v>
      </c>
      <c r="I22" s="22" t="n">
        <v>0.1361</v>
      </c>
      <c r="J22" s="22" t="n">
        <v>0.0013</v>
      </c>
      <c r="K22" s="30">
        <f>J22/I22</f>
        <v/>
      </c>
      <c r="L22" s="19">
        <f>D22/I22</f>
        <v/>
      </c>
      <c r="N22" s="21">
        <f>(1/C22)*(B22/100)</f>
        <v/>
      </c>
      <c r="O22" s="21" t="n">
        <v>1500000</v>
      </c>
      <c r="P22" s="21" t="n">
        <v>1000</v>
      </c>
      <c r="Q22" s="21" t="n">
        <v>5500000</v>
      </c>
      <c r="R22" s="21" t="n">
        <v>1.1e-09</v>
      </c>
      <c r="S22" s="21" t="n">
        <v>4.9e-09</v>
      </c>
      <c r="T22" s="21">
        <f>P22+(Q22^2*(L22*1000)^2/((96485^2)*S22))^(1/3)</f>
        <v/>
      </c>
      <c r="U22" s="26">
        <f>(T22/(O22*50) + 1)^-1</f>
        <v/>
      </c>
      <c r="V22" s="21">
        <f>((3.14/4)*(96485^2)*S22/((L22*1000)^2))*(50-T22/O22)^2</f>
        <v/>
      </c>
      <c r="W22" s="21">
        <f>V22/N22</f>
        <v/>
      </c>
      <c r="X22" s="24">
        <f>SQRT(1/W22)</f>
        <v/>
      </c>
      <c r="Y22" s="28">
        <f>1 - SQRT(100/B22) + SQRT(100/B22 - 1)</f>
        <v/>
      </c>
    </row>
    <row r="23" customFormat="1" s="19">
      <c r="A23" s="20" t="n">
        <v>5</v>
      </c>
      <c r="B23" s="20" t="n">
        <v>50</v>
      </c>
      <c r="C23" s="21" t="n">
        <v>5000</v>
      </c>
      <c r="D23" s="20" t="n">
        <v>8.5</v>
      </c>
      <c r="E23" s="20" t="n">
        <v>0.9</v>
      </c>
      <c r="F23" s="30">
        <f>E23/D23</f>
        <v/>
      </c>
      <c r="G23" s="20" t="n">
        <v>3.8</v>
      </c>
      <c r="H23" s="22" t="n">
        <v>1.3959</v>
      </c>
      <c r="I23" s="22" t="n">
        <v>0.1058</v>
      </c>
      <c r="J23" s="22" t="n">
        <v>0.0012</v>
      </c>
      <c r="K23" s="30">
        <f>J23/I23</f>
        <v/>
      </c>
      <c r="L23" s="19">
        <f>D23/I23</f>
        <v/>
      </c>
      <c r="N23" s="21">
        <f>(1/C23)*(B23/100)</f>
        <v/>
      </c>
      <c r="O23" s="21" t="n">
        <v>1500000</v>
      </c>
      <c r="P23" s="21" t="n">
        <v>1000</v>
      </c>
      <c r="Q23" s="21" t="n">
        <v>5500000</v>
      </c>
      <c r="R23" s="21" t="n">
        <v>1.1e-09</v>
      </c>
      <c r="S23" s="21" t="n">
        <v>4.9e-09</v>
      </c>
      <c r="T23" s="21">
        <f>P23+(Q23^2*(L23*1000)^2/((96485^2)*S23))^(1/3)</f>
        <v/>
      </c>
      <c r="U23" s="26">
        <f>(T23/(O23*50) + 1)^-1</f>
        <v/>
      </c>
      <c r="V23" s="21">
        <f>((3.14/4)*(96485^2)*S23/((L23*1000)^2))*(50-T23/O23)^2</f>
        <v/>
      </c>
      <c r="W23" s="21">
        <f>V23/N23</f>
        <v/>
      </c>
      <c r="X23" s="24">
        <f>SQRT(1/W23)</f>
        <v/>
      </c>
      <c r="Y23" s="28">
        <f>1 - SQRT(100/B23) + SQRT(100/B23 - 1)</f>
        <v/>
      </c>
    </row>
    <row r="24" customFormat="1" s="19">
      <c r="A24" s="20" t="n">
        <v>6.5</v>
      </c>
      <c r="B24" s="20" t="n">
        <v>90</v>
      </c>
      <c r="C24" s="21" t="n">
        <v>500</v>
      </c>
      <c r="D24" s="20" t="n">
        <v>8.6</v>
      </c>
      <c r="E24" s="20" t="n">
        <v>0.8</v>
      </c>
      <c r="F24" s="30">
        <f>E24/D24</f>
        <v/>
      </c>
      <c r="G24" s="20" t="n">
        <v>7.6</v>
      </c>
      <c r="H24" s="22" t="n">
        <v>1.3029</v>
      </c>
      <c r="I24" s="22" t="n">
        <v>0.1992</v>
      </c>
      <c r="J24" s="22" t="n">
        <v>0.0034</v>
      </c>
      <c r="K24" s="30">
        <f>J24/I24</f>
        <v/>
      </c>
      <c r="L24" s="19">
        <f>D24/I24</f>
        <v/>
      </c>
      <c r="N24" s="21">
        <f>(1/C24)*(B24/100)</f>
        <v/>
      </c>
      <c r="O24" s="21" t="n">
        <v>1500000</v>
      </c>
      <c r="P24" s="21" t="n">
        <v>1000</v>
      </c>
      <c r="Q24" s="21" t="n">
        <v>5500000</v>
      </c>
      <c r="R24" s="21" t="n">
        <v>1.1e-09</v>
      </c>
      <c r="S24" s="21" t="n">
        <v>4.9e-09</v>
      </c>
      <c r="T24" s="21">
        <f>P24+(Q24^2*(L24*1000)^2/((96485^2)*S24))^(1/3)</f>
        <v/>
      </c>
      <c r="U24" s="26">
        <f>(T24/(O24*50) + 1)^-1</f>
        <v/>
      </c>
      <c r="V24" s="21">
        <f>((3.14/4)*(96485^2)*S24/((L24*1000)^2))*(50-T24/O24)^2</f>
        <v/>
      </c>
      <c r="W24" s="21">
        <f>V24/N24</f>
        <v/>
      </c>
      <c r="X24" s="24">
        <f>SQRT(1/W24)</f>
        <v/>
      </c>
      <c r="Y24" s="28">
        <f>1 - SQRT(100/B24) + SQRT(100/B24 - 1)</f>
        <v/>
      </c>
    </row>
    <row r="25" customFormat="1" s="19">
      <c r="A25" s="20" t="n">
        <v>6</v>
      </c>
      <c r="B25" s="20" t="n">
        <v>50</v>
      </c>
      <c r="C25" s="21" t="n">
        <v>9000</v>
      </c>
      <c r="D25" s="20" t="n">
        <v>8.300000000000001</v>
      </c>
      <c r="E25" s="20" t="n">
        <v>0.9</v>
      </c>
      <c r="F25" s="30">
        <f>E25/D25</f>
        <v/>
      </c>
      <c r="G25" s="20" t="n">
        <v>3.6</v>
      </c>
      <c r="H25" s="22" t="n">
        <v>1.3882</v>
      </c>
      <c r="I25" s="22" t="n">
        <v>0.0851</v>
      </c>
      <c r="J25" s="22" t="n">
        <v>0.001</v>
      </c>
      <c r="K25" s="30">
        <f>J25/I25</f>
        <v/>
      </c>
      <c r="L25" s="19">
        <f>D25/I25</f>
        <v/>
      </c>
      <c r="N25" s="21">
        <f>(1/C25)*(B25/100)</f>
        <v/>
      </c>
      <c r="O25" s="21" t="n">
        <v>1500000</v>
      </c>
      <c r="P25" s="21" t="n">
        <v>1000</v>
      </c>
      <c r="Q25" s="21" t="n">
        <v>5500000</v>
      </c>
      <c r="R25" s="21" t="n">
        <v>1.1e-09</v>
      </c>
      <c r="S25" s="21" t="n">
        <v>4.9e-09</v>
      </c>
      <c r="T25" s="21">
        <f>P25+(Q25^2*(L25*1000)^2/((96485^2)*S25))^(1/3)</f>
        <v/>
      </c>
      <c r="U25" s="26">
        <f>(T25/(O25*50) + 1)^-1</f>
        <v/>
      </c>
      <c r="V25" s="21">
        <f>((3.14/4)*(96485^2)*S25/((L25*1000)^2))*(50-T25/O25)^2</f>
        <v/>
      </c>
      <c r="W25" s="21">
        <f>V25/N25</f>
        <v/>
      </c>
      <c r="X25" s="24">
        <f>SQRT(1/W25)</f>
        <v/>
      </c>
      <c r="Y25" s="28">
        <f>1 - SQRT(100/B25) + SQRT(100/B25 - 1)</f>
        <v/>
      </c>
    </row>
    <row r="26" customFormat="1" s="19">
      <c r="A26" s="20" t="n">
        <v>6</v>
      </c>
      <c r="B26" s="20" t="n">
        <v>75</v>
      </c>
      <c r="C26" s="21" t="n">
        <v>1000</v>
      </c>
      <c r="D26" s="20" t="n">
        <v>9.1</v>
      </c>
      <c r="E26" s="20" t="n">
        <v>0.9</v>
      </c>
      <c r="F26" s="30">
        <f>E26/D26</f>
        <v/>
      </c>
      <c r="G26" s="20" t="n">
        <v>6.6</v>
      </c>
      <c r="H26" s="22" t="n">
        <v>1.3419</v>
      </c>
      <c r="I26" s="22" t="n">
        <v>0.1888</v>
      </c>
      <c r="J26" s="22" t="n">
        <v>0.0037</v>
      </c>
      <c r="K26" s="30">
        <f>J26/I26</f>
        <v/>
      </c>
      <c r="L26" s="19">
        <f>D26/I26</f>
        <v/>
      </c>
      <c r="N26" s="21">
        <f>(1/C26)*(B26/100)</f>
        <v/>
      </c>
      <c r="O26" s="21" t="n">
        <v>1500000</v>
      </c>
      <c r="P26" s="21" t="n">
        <v>1000</v>
      </c>
      <c r="Q26" s="21" t="n">
        <v>5500000</v>
      </c>
      <c r="R26" s="21" t="n">
        <v>1.1e-09</v>
      </c>
      <c r="S26" s="21" t="n">
        <v>4.9e-09</v>
      </c>
      <c r="T26" s="21">
        <f>P26+(Q26^2*(L26*1000)^2/((96485^2)*S26))^(1/3)</f>
        <v/>
      </c>
      <c r="U26" s="26">
        <f>(T26/(O26*50) + 1)^-1</f>
        <v/>
      </c>
      <c r="V26" s="21">
        <f>((3.14/4)*(96485^2)*S26/((L26*1000)^2))*(50-T26/O26)^2</f>
        <v/>
      </c>
      <c r="W26" s="21">
        <f>V26/N26</f>
        <v/>
      </c>
      <c r="X26" s="24">
        <f>SQRT(1/W26)</f>
        <v/>
      </c>
      <c r="Y26" s="28">
        <f>1 - SQRT(100/B26) + SQRT(100/B26 - 1)</f>
        <v/>
      </c>
    </row>
    <row r="27" customFormat="1" s="19">
      <c r="A27" s="20" t="n">
        <v>7.2</v>
      </c>
      <c r="B27" s="20" t="n">
        <v>90</v>
      </c>
      <c r="C27" s="21" t="n">
        <v>60</v>
      </c>
      <c r="D27" s="20" t="n">
        <v>9.699999999999999</v>
      </c>
      <c r="E27" s="20" t="n">
        <v>0.9</v>
      </c>
      <c r="F27" s="30">
        <f>E27/D27</f>
        <v/>
      </c>
      <c r="G27" s="20" t="n">
        <v>8.6</v>
      </c>
      <c r="H27" s="22" t="n">
        <v>1.3882</v>
      </c>
      <c r="I27" s="22" t="n">
        <v>0.2476</v>
      </c>
      <c r="J27" s="22" t="n">
        <v>0.0065</v>
      </c>
      <c r="K27" s="30">
        <f>J27/I27</f>
        <v/>
      </c>
      <c r="L27" s="19">
        <f>D27/I27</f>
        <v/>
      </c>
      <c r="N27" s="21">
        <f>(1/C27)*(B27/100)</f>
        <v/>
      </c>
      <c r="O27" s="21" t="n">
        <v>1500000</v>
      </c>
      <c r="P27" s="21" t="n">
        <v>1000</v>
      </c>
      <c r="Q27" s="21" t="n">
        <v>5500000</v>
      </c>
      <c r="R27" s="21" t="n">
        <v>1.1e-09</v>
      </c>
      <c r="S27" s="21" t="n">
        <v>4.9e-09</v>
      </c>
      <c r="T27" s="21">
        <f>P27+(Q27^2*(L27*1000)^2/((96485^2)*S27))^(1/3)</f>
        <v/>
      </c>
      <c r="U27" s="26">
        <f>(T27/(O27*50) + 1)^-1</f>
        <v/>
      </c>
      <c r="V27" s="21">
        <f>((3.14/4)*(96485^2)*S27/((L27*1000)^2))*(50-T27/O27)^2</f>
        <v/>
      </c>
      <c r="W27" s="21">
        <f>V27/N27</f>
        <v/>
      </c>
      <c r="X27" s="24">
        <f>SQRT(1/W27)</f>
        <v/>
      </c>
      <c r="Y27" s="28">
        <f>1 - SQRT(100/B27) + SQRT(100/B27 - 1)</f>
        <v/>
      </c>
    </row>
    <row r="28" customFormat="1" s="40">
      <c r="A28" s="40" t="n">
        <v>13.3</v>
      </c>
      <c r="B28" s="40" t="n">
        <v>50</v>
      </c>
      <c r="C28" s="42" t="n">
        <v>1000</v>
      </c>
      <c r="D28" s="54" t="n"/>
      <c r="E28" s="54" t="n"/>
      <c r="F28" s="44">
        <f>E28/D28</f>
        <v/>
      </c>
      <c r="H28" s="41" t="n">
        <v>1.3375</v>
      </c>
      <c r="I28" s="41" t="n">
        <v>0.5281</v>
      </c>
      <c r="J28" s="41" t="n">
        <v>0.0133</v>
      </c>
      <c r="K28" s="44">
        <f>J28/I28</f>
        <v/>
      </c>
      <c r="N28" s="42" t="n"/>
      <c r="O28" s="42" t="n"/>
      <c r="P28" s="42" t="n"/>
      <c r="Q28" s="42" t="n"/>
      <c r="R28" s="42" t="n"/>
      <c r="S28" s="42" t="n"/>
      <c r="T28" s="42">
        <f>P28+(Q28^2*(L28*1000)^2/((96485^2)*S28))^(1/3)</f>
        <v/>
      </c>
      <c r="U28" s="43">
        <f>(T28/(O28*50) + 1)^-1</f>
        <v/>
      </c>
      <c r="V28" s="42">
        <f>((3.14/4)*(96485^2)*S28/((L28*1000)^2))*(50-T28/O28)^2</f>
        <v/>
      </c>
      <c r="W28" s="42">
        <f>V28/N28</f>
        <v/>
      </c>
      <c r="X28" s="47">
        <f>SQRT(1/W28)</f>
        <v/>
      </c>
      <c r="Y28" s="45">
        <f>1 - SQRT(100/B28) + SQRT(100/B28 - 1)</f>
        <v/>
      </c>
    </row>
    <row r="29" customFormat="1" s="40">
      <c r="A29" s="40" t="n">
        <v>6.6</v>
      </c>
      <c r="B29" s="40" t="n">
        <v>5</v>
      </c>
      <c r="C29" s="42" t="n">
        <v>7000</v>
      </c>
      <c r="D29" s="54" t="n">
        <v>27.5</v>
      </c>
      <c r="E29" s="54" t="n">
        <v>3.2</v>
      </c>
      <c r="F29" s="44">
        <f>E29/D29</f>
        <v/>
      </c>
      <c r="G29" s="40" t="n">
        <v>0.8</v>
      </c>
      <c r="H29" s="41" t="n">
        <v>1.4448</v>
      </c>
      <c r="I29" s="41" t="n">
        <v>0.5004</v>
      </c>
      <c r="J29" s="41" t="n">
        <v>0.0201</v>
      </c>
      <c r="K29" s="44">
        <f>J29/I29</f>
        <v/>
      </c>
      <c r="L29" s="40">
        <f>D29/I29</f>
        <v/>
      </c>
      <c r="N29" s="42">
        <f>(1/C29)*(B29/100)</f>
        <v/>
      </c>
      <c r="O29" s="42" t="n">
        <v>1500000</v>
      </c>
      <c r="P29" s="42" t="n">
        <v>1000</v>
      </c>
      <c r="Q29" s="42" t="n">
        <v>5500000</v>
      </c>
      <c r="R29" s="42" t="n">
        <v>1.1e-09</v>
      </c>
      <c r="S29" s="42" t="n">
        <v>4.9e-09</v>
      </c>
      <c r="T29" s="42">
        <f>P29+(Q29^2*(L29*1000)^2/((96485^2)*S29))^(1/3)</f>
        <v/>
      </c>
      <c r="U29" s="43">
        <f>(T29/(O29*50) + 1)^-1</f>
        <v/>
      </c>
      <c r="V29" s="42">
        <f>((3.14/4)*(96485^2)*S29/((L29*1000)^2))*(50-T29/O29)^2</f>
        <v/>
      </c>
      <c r="W29" s="42">
        <f>V29/N29</f>
        <v/>
      </c>
      <c r="X29" s="47">
        <f>SQRT(1/W29)</f>
        <v/>
      </c>
      <c r="Y29" s="45">
        <f>1 - SQRT(100/B29) + SQRT(100/B29 - 1)</f>
        <v/>
      </c>
    </row>
    <row r="30" customFormat="1" s="40">
      <c r="A30" s="40" t="n">
        <v>5.7</v>
      </c>
      <c r="B30" s="40" t="n">
        <v>10</v>
      </c>
      <c r="C30" s="42" t="n">
        <v>7000</v>
      </c>
      <c r="D30" s="54" t="n">
        <v>19.4</v>
      </c>
      <c r="E30" s="54" t="n">
        <v>1.5</v>
      </c>
      <c r="F30" s="44">
        <f>E30/D30</f>
        <v/>
      </c>
      <c r="G30" s="40" t="n">
        <v>1.2</v>
      </c>
      <c r="H30" s="41" t="n">
        <v>1.4215</v>
      </c>
      <c r="I30" s="41" t="n">
        <v>0.2259</v>
      </c>
      <c r="J30" s="40" t="n">
        <v>0.0036</v>
      </c>
      <c r="K30" s="44">
        <f>J30/I30</f>
        <v/>
      </c>
      <c r="L30" s="40">
        <f>D30/I30</f>
        <v/>
      </c>
      <c r="N30" s="42">
        <f>(1/C30)*(B30/100)</f>
        <v/>
      </c>
      <c r="O30" s="42" t="n">
        <v>1500000</v>
      </c>
      <c r="P30" s="42" t="n">
        <v>1000</v>
      </c>
      <c r="Q30" s="42" t="n">
        <v>5500000</v>
      </c>
      <c r="R30" s="42" t="n">
        <v>1.1e-09</v>
      </c>
      <c r="S30" s="42" t="n">
        <v>4.9e-09</v>
      </c>
      <c r="T30" s="42">
        <f>P30+(Q30^2*(L30*1000)^2/((96485^2)*S30))^(1/3)</f>
        <v/>
      </c>
      <c r="U30" s="43">
        <f>(T30/(O30*50) + 1)^-1</f>
        <v/>
      </c>
      <c r="V30" s="42">
        <f>((3.14/4)*(96485^2)*S30/((L30*1000)^2))*(50-T30/O30)^2</f>
        <v/>
      </c>
      <c r="W30" s="42">
        <f>V30/N30</f>
        <v/>
      </c>
      <c r="X30" s="47">
        <f>SQRT(1/W30)</f>
        <v/>
      </c>
      <c r="Y30" s="45">
        <f>1 - SQRT(100/B30) + SQRT(100/B30 - 1)</f>
        <v/>
      </c>
    </row>
    <row r="31" customFormat="1" s="40">
      <c r="A31" s="40" t="n">
        <v>5.8</v>
      </c>
      <c r="B31" s="40" t="n">
        <v>15</v>
      </c>
      <c r="C31" s="42" t="n">
        <v>7000</v>
      </c>
      <c r="D31" s="54" t="n">
        <v>17</v>
      </c>
      <c r="E31" s="54" t="n">
        <v>1.2</v>
      </c>
      <c r="F31" s="44">
        <f>E31/D31</f>
        <v/>
      </c>
      <c r="G31" s="40" t="n">
        <v>1.8</v>
      </c>
      <c r="H31" s="41" t="n">
        <v>1.4124</v>
      </c>
      <c r="I31" s="41" t="n">
        <v>0.145</v>
      </c>
      <c r="J31" s="40" t="n">
        <v>0.0028</v>
      </c>
      <c r="K31" s="44">
        <f>J31/I31</f>
        <v/>
      </c>
      <c r="L31" s="40">
        <f>D31/I31</f>
        <v/>
      </c>
      <c r="N31" s="42">
        <f>(1/C31)*(B31/100)</f>
        <v/>
      </c>
      <c r="O31" s="42" t="n">
        <v>1500000</v>
      </c>
      <c r="P31" s="42" t="n">
        <v>1000</v>
      </c>
      <c r="Q31" s="42" t="n">
        <v>5500000</v>
      </c>
      <c r="R31" s="42" t="n">
        <v>1.1e-09</v>
      </c>
      <c r="S31" s="42" t="n">
        <v>4.9e-09</v>
      </c>
      <c r="T31" s="42">
        <f>P31+(Q31^2*(L31*1000)^2/((96485^2)*S31))^(1/3)</f>
        <v/>
      </c>
      <c r="U31" s="43">
        <f>(T31/(O31*50) + 1)^-1</f>
        <v/>
      </c>
      <c r="V31" s="42">
        <f>((3.14/4)*(96485^2)*S31/((L31*1000)^2))*(50-T31/O31)^2</f>
        <v/>
      </c>
      <c r="W31" s="42">
        <f>V31/N31</f>
        <v/>
      </c>
      <c r="X31" s="47">
        <f>SQRT(1/W31)</f>
        <v/>
      </c>
      <c r="Y31" s="45">
        <f>1 - SQRT(100/B31) + SQRT(100/B31 - 1)</f>
        <v/>
      </c>
    </row>
    <row r="32" customFormat="1" s="40">
      <c r="A32" s="40" t="n">
        <v>5.6</v>
      </c>
      <c r="B32" s="40" t="n">
        <v>20</v>
      </c>
      <c r="C32" s="42" t="n">
        <v>7000</v>
      </c>
      <c r="D32" s="54" t="n">
        <v>14.7</v>
      </c>
      <c r="E32" s="54" t="n">
        <v>0.9</v>
      </c>
      <c r="F32" s="44">
        <f>E32/D32</f>
        <v/>
      </c>
      <c r="G32" s="40" t="n">
        <v>2.3</v>
      </c>
      <c r="H32" s="41" t="n">
        <v>1.421</v>
      </c>
      <c r="I32" s="41" t="n">
        <v>0.1341</v>
      </c>
      <c r="J32" s="40" t="n">
        <v>0.0021</v>
      </c>
      <c r="K32" s="44">
        <f>J32/I32</f>
        <v/>
      </c>
      <c r="L32" s="40">
        <f>D32/I32</f>
        <v/>
      </c>
      <c r="N32" s="42">
        <f>(1/C32)*(B32/100)</f>
        <v/>
      </c>
      <c r="O32" s="42" t="n">
        <v>1500000</v>
      </c>
      <c r="P32" s="42" t="n">
        <v>1000</v>
      </c>
      <c r="Q32" s="42" t="n">
        <v>5500000</v>
      </c>
      <c r="R32" s="42" t="n">
        <v>1.1e-09</v>
      </c>
      <c r="S32" s="42" t="n">
        <v>4.9e-09</v>
      </c>
      <c r="T32" s="42">
        <f>P32+(Q32^2*(L32*1000)^2/((96485^2)*S32))^(1/3)</f>
        <v/>
      </c>
      <c r="U32" s="43">
        <f>(T32/(O32*50) + 1)^-1</f>
        <v/>
      </c>
      <c r="V32" s="42">
        <f>((3.14/4)*(96485^2)*S32/((L32*1000)^2))*(50-T32/O32)^2</f>
        <v/>
      </c>
      <c r="W32" s="42">
        <f>V32/N32</f>
        <v/>
      </c>
      <c r="X32" s="47">
        <f>SQRT(1/W32)</f>
        <v/>
      </c>
      <c r="Y32" s="45">
        <f>1 - SQRT(100/B32) + SQRT(100/B32 - 1)</f>
        <v/>
      </c>
    </row>
    <row r="33" customFormat="1" s="40">
      <c r="A33" s="40" t="n">
        <v>8.5</v>
      </c>
      <c r="B33" s="40" t="n">
        <v>10</v>
      </c>
      <c r="C33" s="42" t="n">
        <v>9000</v>
      </c>
      <c r="D33" s="54" t="n">
        <v>24.9</v>
      </c>
      <c r="E33" s="54" t="n">
        <v>2.4</v>
      </c>
      <c r="F33" s="44">
        <f>E33/D33</f>
        <v/>
      </c>
      <c r="G33" s="40" t="n">
        <v>2.3</v>
      </c>
      <c r="H33" s="41" t="n">
        <v>1.4395</v>
      </c>
      <c r="I33" s="41" t="n">
        <v>0.4877</v>
      </c>
      <c r="J33" s="40" t="n">
        <v>0.0143</v>
      </c>
      <c r="K33" s="44">
        <f>J33/I33</f>
        <v/>
      </c>
      <c r="L33" s="40">
        <f>D33/I33</f>
        <v/>
      </c>
      <c r="N33" s="42">
        <f>(1/C33)*(B33/100)</f>
        <v/>
      </c>
      <c r="O33" s="42" t="n">
        <v>1500000</v>
      </c>
      <c r="P33" s="42" t="n">
        <v>1000</v>
      </c>
      <c r="Q33" s="42" t="n">
        <v>5500000</v>
      </c>
      <c r="R33" s="42" t="n">
        <v>1.1e-09</v>
      </c>
      <c r="S33" s="42" t="n">
        <v>4.9e-09</v>
      </c>
      <c r="T33" s="42">
        <f>P33+(Q33^2*(L33*1000)^2/((96485^2)*S33))^(1/3)</f>
        <v/>
      </c>
      <c r="U33" s="43">
        <f>(T33/(O33*50) + 1)^-1</f>
        <v/>
      </c>
      <c r="V33" s="42">
        <f>((3.14/4)*(96485^2)*S33/((L33*1000)^2))*(50-T33/O33)^2</f>
        <v/>
      </c>
      <c r="W33" s="42">
        <f>V33/N33</f>
        <v/>
      </c>
      <c r="X33" s="47">
        <f>SQRT(1/W33)</f>
        <v/>
      </c>
      <c r="Y33" s="45">
        <f>1 - SQRT(100/B33) + SQRT(100/B33 - 1)</f>
        <v/>
      </c>
    </row>
    <row r="34" customFormat="1" s="40">
      <c r="A34" s="40" t="n">
        <v>10.5</v>
      </c>
      <c r="B34" s="40" t="n">
        <v>10</v>
      </c>
      <c r="C34" s="42" t="n">
        <v>9000</v>
      </c>
      <c r="D34" s="54" t="n">
        <v>31.2</v>
      </c>
      <c r="E34" s="54" t="n">
        <v>3.5</v>
      </c>
      <c r="F34" s="44">
        <f>E34/D34</f>
        <v/>
      </c>
      <c r="G34" s="40" t="n">
        <v>3.1</v>
      </c>
      <c r="H34" s="41" t="n">
        <v>1.4241</v>
      </c>
      <c r="I34" s="41" t="n">
        <v>0.2947</v>
      </c>
      <c r="J34" s="40" t="n">
        <v>0.0059</v>
      </c>
      <c r="K34" s="44">
        <f>J34/I34</f>
        <v/>
      </c>
      <c r="L34" s="40">
        <f>D34/I34</f>
        <v/>
      </c>
      <c r="N34" s="42">
        <f>(1/C34)*(B34/100)</f>
        <v/>
      </c>
      <c r="O34" s="42" t="n">
        <v>1500000</v>
      </c>
      <c r="P34" s="42" t="n">
        <v>1000</v>
      </c>
      <c r="Q34" s="42" t="n">
        <v>5500000</v>
      </c>
      <c r="R34" s="42" t="n">
        <v>1.1e-09</v>
      </c>
      <c r="S34" s="42" t="n">
        <v>4.9e-09</v>
      </c>
      <c r="T34" s="42">
        <f>P34+(Q34^2*(L34*1000)^2/((96485^2)*S34))^(1/3)</f>
        <v/>
      </c>
      <c r="U34" s="43">
        <f>(T34/(O34*50) + 1)^-1</f>
        <v/>
      </c>
      <c r="V34" s="42">
        <f>((3.14/4)*(96485^2)*S34/((L34*1000)^2))*(50-T34/O34)^2</f>
        <v/>
      </c>
      <c r="W34" s="42">
        <f>V34/N34</f>
        <v/>
      </c>
      <c r="X34" s="47">
        <f>SQRT(1/W34)</f>
        <v/>
      </c>
      <c r="Y34" s="45">
        <f>1 - SQRT(100/B34) + SQRT(100/B34 - 1)</f>
        <v/>
      </c>
    </row>
    <row r="35" customFormat="1" s="40">
      <c r="A35" s="40" t="n">
        <v>8.4</v>
      </c>
      <c r="B35" s="40" t="n">
        <v>12.5</v>
      </c>
      <c r="C35" s="42" t="n">
        <v>9000</v>
      </c>
      <c r="D35" s="54" t="n">
        <v>22.7</v>
      </c>
      <c r="E35" s="54" t="n">
        <v>2</v>
      </c>
      <c r="F35" s="44">
        <f>E35/D35</f>
        <v/>
      </c>
      <c r="G35" s="40" t="n">
        <v>2.7</v>
      </c>
      <c r="H35" s="41" t="n">
        <v>1.4267</v>
      </c>
      <c r="I35" s="41" t="n">
        <v>0.2957</v>
      </c>
      <c r="J35" s="40" t="n">
        <v>0.0066</v>
      </c>
      <c r="K35" s="44">
        <f>J35/I35</f>
        <v/>
      </c>
      <c r="L35" s="40">
        <f>D35/I35</f>
        <v/>
      </c>
      <c r="N35" s="42">
        <f>(1/C35)*(B35/100)</f>
        <v/>
      </c>
      <c r="O35" s="42" t="n">
        <v>1500000</v>
      </c>
      <c r="P35" s="42" t="n">
        <v>1000</v>
      </c>
      <c r="Q35" s="42" t="n">
        <v>5500000</v>
      </c>
      <c r="R35" s="42" t="n">
        <v>1.1e-09</v>
      </c>
      <c r="S35" s="42" t="n">
        <v>4.9e-09</v>
      </c>
      <c r="T35" s="42">
        <f>P35+(Q35^2*(L35*1000)^2/((96485^2)*S35))^(1/3)</f>
        <v/>
      </c>
      <c r="U35" s="43">
        <f>(T35/(O35*50) + 1)^-1</f>
        <v/>
      </c>
      <c r="V35" s="42">
        <f>((3.14/4)*(96485^2)*S35/((L35*1000)^2))*(50-T35/O35)^2</f>
        <v/>
      </c>
      <c r="W35" s="42">
        <f>V35/N35</f>
        <v/>
      </c>
      <c r="X35" s="47">
        <f>SQRT(1/W35)</f>
        <v/>
      </c>
      <c r="Y35" s="45">
        <f>1 - SQRT(100/B35) + SQRT(100/B35 - 1)</f>
        <v/>
      </c>
    </row>
    <row r="36" customFormat="1" s="40">
      <c r="A36" s="40" t="n">
        <v>7.1</v>
      </c>
      <c r="B36" s="40" t="n">
        <v>15</v>
      </c>
      <c r="C36" s="42" t="n">
        <v>9000</v>
      </c>
      <c r="D36" s="54" t="n">
        <v>18</v>
      </c>
      <c r="E36" s="54" t="n">
        <v>1.3</v>
      </c>
      <c r="F36" s="44">
        <f>E36/D36</f>
        <v/>
      </c>
      <c r="G36" s="40" t="n">
        <v>2.6</v>
      </c>
      <c r="H36" s="41" t="n">
        <v>1.385</v>
      </c>
      <c r="I36" s="41" t="n">
        <v>0.2528</v>
      </c>
      <c r="J36" s="40" t="n">
        <v>0.009900000000000001</v>
      </c>
      <c r="K36" s="44">
        <f>J36/I36</f>
        <v/>
      </c>
      <c r="L36" s="40">
        <f>D36/I36</f>
        <v/>
      </c>
      <c r="N36" s="42">
        <f>(1/C36)*(B36/100)</f>
        <v/>
      </c>
      <c r="O36" s="42" t="n">
        <v>1500000</v>
      </c>
      <c r="P36" s="42" t="n">
        <v>1000</v>
      </c>
      <c r="Q36" s="42" t="n">
        <v>5500000</v>
      </c>
      <c r="R36" s="42" t="n">
        <v>1.1e-09</v>
      </c>
      <c r="S36" s="42" t="n">
        <v>4.9e-09</v>
      </c>
      <c r="T36" s="42">
        <f>P36+(Q36^2*(L36*1000)^2/((96485^2)*S36))^(1/3)</f>
        <v/>
      </c>
      <c r="U36" s="43">
        <f>(T36/(O36*50) + 1)^-1</f>
        <v/>
      </c>
      <c r="V36" s="42">
        <f>((3.14/4)*(96485^2)*S36/((L36*1000)^2))*(50-T36/O36)^2</f>
        <v/>
      </c>
      <c r="W36" s="42">
        <f>V36/N36</f>
        <v/>
      </c>
      <c r="X36" s="47">
        <f>SQRT(1/W36)</f>
        <v/>
      </c>
      <c r="Y36" s="45">
        <f>1 - SQRT(100/B36) + SQRT(100/B36 - 1)</f>
        <v/>
      </c>
    </row>
    <row r="37" customFormat="1" s="40">
      <c r="A37" s="40" t="n">
        <v>9</v>
      </c>
      <c r="B37" s="40" t="n">
        <v>15</v>
      </c>
      <c r="C37" s="42" t="n">
        <v>9000</v>
      </c>
      <c r="D37" s="54" t="n">
        <v>23.1</v>
      </c>
      <c r="E37" s="54" t="n">
        <v>1.9</v>
      </c>
      <c r="F37" s="44">
        <f>E37/D37</f>
        <v/>
      </c>
      <c r="G37" s="40" t="n">
        <v>3.4</v>
      </c>
      <c r="H37" s="41" t="n">
        <v>1.4124</v>
      </c>
      <c r="I37" s="41" t="n">
        <v>0.3152</v>
      </c>
      <c r="J37" s="40" t="n">
        <v>0.0117</v>
      </c>
      <c r="K37" s="44">
        <f>J37/I37</f>
        <v/>
      </c>
      <c r="L37" s="40">
        <f>D37/I37</f>
        <v/>
      </c>
      <c r="N37" s="42">
        <f>(1/C37)*(B37/100)</f>
        <v/>
      </c>
      <c r="O37" s="42" t="n">
        <v>1500000</v>
      </c>
      <c r="P37" s="42" t="n">
        <v>1000</v>
      </c>
      <c r="Q37" s="42" t="n">
        <v>5500000</v>
      </c>
      <c r="R37" s="42" t="n">
        <v>1.1e-09</v>
      </c>
      <c r="S37" s="42" t="n">
        <v>4.9e-09</v>
      </c>
      <c r="T37" s="42">
        <f>P37+(Q37^2*(L37*1000)^2/((96485^2)*S37))^(1/3)</f>
        <v/>
      </c>
      <c r="U37" s="43">
        <f>(T37/(O37*50) + 1)^-1</f>
        <v/>
      </c>
      <c r="V37" s="42">
        <f>((3.14/4)*(96485^2)*S37/((L37*1000)^2))*(50-T37/O37)^2</f>
        <v/>
      </c>
      <c r="W37" s="42">
        <f>V37/N37</f>
        <v/>
      </c>
      <c r="X37" s="47">
        <f>SQRT(1/W37)</f>
        <v/>
      </c>
      <c r="Y37" s="45">
        <f>1 - SQRT(100/B37) + SQRT(100/B37 - 1)</f>
        <v/>
      </c>
    </row>
    <row r="38" customFormat="1" s="40">
      <c r="A38" s="40" t="n">
        <v>9.300000000000001</v>
      </c>
      <c r="B38" s="40" t="n">
        <v>20</v>
      </c>
      <c r="C38" s="42" t="n">
        <v>9000</v>
      </c>
      <c r="D38" s="54" t="n">
        <v>21</v>
      </c>
      <c r="E38" s="54" t="n">
        <v>1.5</v>
      </c>
      <c r="F38" s="44">
        <f>E38/D38</f>
        <v/>
      </c>
      <c r="G38" s="40" t="n">
        <v>4.2</v>
      </c>
      <c r="H38" s="41" t="n">
        <v>1.4215</v>
      </c>
      <c r="I38" s="41" t="n">
        <v>0.293</v>
      </c>
      <c r="J38" s="40" t="n">
        <v>0.0068</v>
      </c>
      <c r="K38" s="44">
        <f>J38/I38</f>
        <v/>
      </c>
      <c r="L38" s="40">
        <f>D38/I38</f>
        <v/>
      </c>
      <c r="N38" s="42">
        <f>(1/C38)*(B38/100)</f>
        <v/>
      </c>
      <c r="O38" s="42" t="n">
        <v>1500000</v>
      </c>
      <c r="P38" s="42" t="n">
        <v>1000</v>
      </c>
      <c r="Q38" s="42" t="n">
        <v>5500000</v>
      </c>
      <c r="R38" s="42" t="n">
        <v>1.1e-09</v>
      </c>
      <c r="S38" s="42" t="n">
        <v>4.9e-09</v>
      </c>
      <c r="T38" s="42">
        <f>P38+(Q38^2*(L38*1000)^2/((96485^2)*S38))^(1/3)</f>
        <v/>
      </c>
      <c r="U38" s="43">
        <f>(T38/(O38*50) + 1)^-1</f>
        <v/>
      </c>
      <c r="V38" s="42">
        <f>((3.14/4)*(96485^2)*S38/((L38*1000)^2))*(50-T38/O38)^2</f>
        <v/>
      </c>
      <c r="W38" s="42">
        <f>V38/N38</f>
        <v/>
      </c>
      <c r="X38" s="47">
        <f>SQRT(1/W38)</f>
        <v/>
      </c>
      <c r="Y38" s="45">
        <f>1 - SQRT(100/B38) + SQRT(100/B38 - 1)</f>
        <v/>
      </c>
    </row>
    <row r="39" customFormat="1" s="40">
      <c r="A39" s="40" t="n">
        <v>9.300000000000001</v>
      </c>
      <c r="B39" s="40" t="n">
        <v>20</v>
      </c>
      <c r="C39" s="42" t="n">
        <v>9000</v>
      </c>
      <c r="D39" s="54" t="n">
        <v>21</v>
      </c>
      <c r="E39" s="54" t="n">
        <v>1.5</v>
      </c>
      <c r="F39" s="44">
        <f>E39/D39</f>
        <v/>
      </c>
      <c r="G39" s="40" t="n">
        <v>4.2</v>
      </c>
      <c r="H39" s="41" t="n">
        <v>1.4331</v>
      </c>
      <c r="I39" s="41" t="n">
        <v>0.1852</v>
      </c>
      <c r="J39" s="40" t="n">
        <v>0.0028</v>
      </c>
      <c r="K39" s="44">
        <f>J39/I39</f>
        <v/>
      </c>
      <c r="L39" s="40">
        <f>D39/I39</f>
        <v/>
      </c>
      <c r="N39" s="42">
        <f>(1/C39)*(B39/100)</f>
        <v/>
      </c>
      <c r="O39" s="42" t="n">
        <v>1500000</v>
      </c>
      <c r="P39" s="42" t="n">
        <v>1000</v>
      </c>
      <c r="Q39" s="42" t="n">
        <v>5500000</v>
      </c>
      <c r="R39" s="42" t="n">
        <v>1.1e-09</v>
      </c>
      <c r="S39" s="42" t="n">
        <v>4.9e-09</v>
      </c>
      <c r="T39" s="42">
        <f>P39+(Q39^2*(L39*1000)^2/((96485^2)*S39))^(1/3)</f>
        <v/>
      </c>
      <c r="U39" s="43">
        <f>(T39/(O39*50) + 1)^-1</f>
        <v/>
      </c>
      <c r="V39" s="42">
        <f>((3.14/4)*(96485^2)*S39/((L39*1000)^2))*(50-T39/O39)^2</f>
        <v/>
      </c>
      <c r="W39" s="42">
        <f>V39/N39</f>
        <v/>
      </c>
      <c r="X39" s="47">
        <f>SQRT(1/W39)</f>
        <v/>
      </c>
      <c r="Y39" s="45">
        <f>1 - SQRT(100/B39) + SQRT(100/B39 - 1)</f>
        <v/>
      </c>
    </row>
    <row r="40" customFormat="1" s="40">
      <c r="A40" s="40" t="n">
        <v>11</v>
      </c>
      <c r="B40" s="40" t="n">
        <v>20</v>
      </c>
      <c r="C40" s="42" t="n">
        <v>9000</v>
      </c>
      <c r="D40" s="54" t="n">
        <v>25.1</v>
      </c>
      <c r="E40" s="54" t="n">
        <v>2</v>
      </c>
      <c r="F40" s="44">
        <f>E40/D40</f>
        <v/>
      </c>
      <c r="G40" s="40" t="n">
        <v>5</v>
      </c>
      <c r="H40" s="41" t="n">
        <v>1.4098</v>
      </c>
      <c r="I40" s="41" t="n">
        <v>0.3738</v>
      </c>
      <c r="J40" s="40" t="n">
        <v>0.0159</v>
      </c>
      <c r="K40" s="44">
        <f>J40/I40</f>
        <v/>
      </c>
      <c r="L40" s="40">
        <f>D40/I40</f>
        <v/>
      </c>
      <c r="N40" s="42">
        <f>(1/C40)*(B40/100)</f>
        <v/>
      </c>
      <c r="O40" s="42" t="n">
        <v>1500000</v>
      </c>
      <c r="P40" s="42" t="n">
        <v>1000</v>
      </c>
      <c r="Q40" s="42" t="n">
        <v>5500000</v>
      </c>
      <c r="R40" s="42" t="n">
        <v>1.1e-09</v>
      </c>
      <c r="S40" s="42" t="n">
        <v>4.9e-09</v>
      </c>
      <c r="T40" s="42">
        <f>P40+(Q40^2*(L40*1000)^2/((96485^2)*S40))^(1/3)</f>
        <v/>
      </c>
      <c r="U40" s="43">
        <f>(T40/(O40*50) + 1)^-1</f>
        <v/>
      </c>
      <c r="V40" s="42">
        <f>((3.14/4)*(96485^2)*S40/((L40*1000)^2))*(50-T40/O40)^2</f>
        <v/>
      </c>
      <c r="W40" s="42">
        <f>V40/N40</f>
        <v/>
      </c>
      <c r="X40" s="47">
        <f>SQRT(1/W40)</f>
        <v/>
      </c>
      <c r="Y40" s="45">
        <f>1 - SQRT(100/B40) + SQRT(100/B40 - 1)</f>
        <v/>
      </c>
    </row>
    <row r="41" customFormat="1" s="31">
      <c r="A41" s="31" t="n">
        <v>5</v>
      </c>
      <c r="B41" s="31" t="n">
        <v>2.5</v>
      </c>
      <c r="C41" s="33" t="n">
        <v>7000</v>
      </c>
      <c r="D41" s="32" t="n">
        <v>22.7</v>
      </c>
      <c r="E41" s="32" t="n">
        <v>3.5</v>
      </c>
      <c r="F41" s="31">
        <f>E41/D41</f>
        <v/>
      </c>
      <c r="H41" s="31" t="n">
        <v>1.5235</v>
      </c>
      <c r="I41" s="31" t="n">
        <v>0.5961</v>
      </c>
      <c r="J41" s="35" t="n">
        <v>0.0175</v>
      </c>
      <c r="K41" s="34">
        <f>J41/I41</f>
        <v/>
      </c>
      <c r="L41" s="31">
        <f>D41/I41</f>
        <v/>
      </c>
      <c r="N41" s="33">
        <f>(1/C41)*(B41/100)</f>
        <v/>
      </c>
      <c r="O41" s="33" t="n">
        <v>1500000</v>
      </c>
      <c r="P41" s="33" t="n">
        <v>1000</v>
      </c>
      <c r="Q41" s="33" t="n">
        <v>5500000</v>
      </c>
      <c r="R41" s="33" t="n">
        <v>1.1e-09</v>
      </c>
      <c r="S41" s="33" t="n">
        <v>4.9e-09</v>
      </c>
      <c r="T41" s="33">
        <f>P41+(Q41^2*(L41*1000)^2/((96485^2)*S41))^(1/3)</f>
        <v/>
      </c>
      <c r="U41" s="36">
        <f>(T41/(O41*50) + 1)^-1</f>
        <v/>
      </c>
      <c r="V41" s="33">
        <f>((3.14/4)*(96485^2)*S41/((L41*1000)^2))*(50-T41/O41)^2</f>
        <v/>
      </c>
      <c r="W41" s="33">
        <f>V41/N41</f>
        <v/>
      </c>
      <c r="X41" s="37">
        <f>SQRT(1/W41)</f>
        <v/>
      </c>
      <c r="Y41" s="38">
        <f>1 - SQRT(100/B41) + SQRT(100/B41 - 1)</f>
        <v/>
      </c>
    </row>
    <row r="42" customFormat="1" s="58">
      <c r="A42" s="58" t="n">
        <v>6.6</v>
      </c>
      <c r="B42" s="58" t="n">
        <v>5</v>
      </c>
      <c r="C42" s="59" t="n">
        <v>7000</v>
      </c>
      <c r="D42" s="60" t="n">
        <v>27.6</v>
      </c>
      <c r="E42" s="60" t="n">
        <v>3.2</v>
      </c>
      <c r="F42" s="58">
        <f>E42/D42</f>
        <v/>
      </c>
      <c r="H42" s="58" t="n">
        <v>1.5141</v>
      </c>
      <c r="I42" s="58" t="n">
        <v>0.6559</v>
      </c>
      <c r="J42" s="61" t="n">
        <v>0.0399</v>
      </c>
      <c r="K42" s="62">
        <f>J42/I42</f>
        <v/>
      </c>
      <c r="L42" s="58">
        <f>D42/I42</f>
        <v/>
      </c>
      <c r="N42" s="59">
        <f>(1/C42)*(B42/100)</f>
        <v/>
      </c>
      <c r="O42" s="59" t="n">
        <v>1500000</v>
      </c>
      <c r="P42" s="59" t="n">
        <v>1000</v>
      </c>
      <c r="Q42" s="59" t="n">
        <v>5500000</v>
      </c>
      <c r="R42" s="59" t="n">
        <v>1.1e-09</v>
      </c>
      <c r="S42" s="59" t="n">
        <v>4.9e-09</v>
      </c>
      <c r="T42" s="59">
        <f>P42+(Q42^2*(L42*1000)^2/((96485^2)*S42))^(1/3)</f>
        <v/>
      </c>
      <c r="U42" s="63">
        <f>(T42/(O42*50) + 1)^-1</f>
        <v/>
      </c>
      <c r="V42" s="59">
        <f>((3.14/4)*(96485^2)*S42/((L42*1000)^2))*(50-T42/O42)^2</f>
        <v/>
      </c>
      <c r="W42" s="59">
        <f>V42/N42</f>
        <v/>
      </c>
      <c r="X42" s="64">
        <f>SQRT(1/W42)</f>
        <v/>
      </c>
      <c r="Y42" s="65">
        <f>1 - SQRT(100/B42) + SQRT(100/B42 - 1)</f>
        <v/>
      </c>
    </row>
    <row r="43" customFormat="1" s="58">
      <c r="A43" s="58" t="n">
        <v>6.6</v>
      </c>
      <c r="B43" s="58" t="n">
        <v>7.5</v>
      </c>
      <c r="C43" s="59" t="n">
        <v>7000</v>
      </c>
      <c r="D43" s="60" t="n">
        <v>25.1</v>
      </c>
      <c r="E43" s="60" t="n">
        <v>2.3</v>
      </c>
      <c r="F43" s="58">
        <f>E43/D43</f>
        <v/>
      </c>
      <c r="H43" s="58" t="n">
        <v>1.5259</v>
      </c>
      <c r="I43" s="58" t="n">
        <v>0.5941</v>
      </c>
      <c r="J43" s="61" t="n">
        <v>0.0376</v>
      </c>
      <c r="K43" s="62">
        <f>J43/I43</f>
        <v/>
      </c>
      <c r="L43" s="58">
        <f>D43/I43</f>
        <v/>
      </c>
      <c r="N43" s="59">
        <f>(1/C43)*(B43/100)</f>
        <v/>
      </c>
      <c r="O43" s="59" t="n">
        <v>1500000</v>
      </c>
      <c r="P43" s="59" t="n">
        <v>1000</v>
      </c>
      <c r="Q43" s="59" t="n">
        <v>5500000</v>
      </c>
      <c r="R43" s="59" t="n">
        <v>1.1e-09</v>
      </c>
      <c r="S43" s="59" t="n">
        <v>4.9e-09</v>
      </c>
      <c r="T43" s="59">
        <f>P43+(Q43^2*(L43*1000)^2/((96485^2)*S43))^(1/3)</f>
        <v/>
      </c>
      <c r="U43" s="63">
        <f>(T43/(O43*50) + 1)^-1</f>
        <v/>
      </c>
      <c r="V43" s="59">
        <f>((3.14/4)*(96485^2)*S43/((L43*1000)^2))*(50-T43/O43)^2</f>
        <v/>
      </c>
      <c r="W43" s="59">
        <f>V43/N43</f>
        <v/>
      </c>
      <c r="X43" s="64">
        <f>SQRT(1/W43)</f>
        <v/>
      </c>
      <c r="Y43" s="65">
        <f>1 - SQRT(100/B43) + SQRT(100/B43 - 1)</f>
        <v/>
      </c>
    </row>
    <row r="44" customFormat="1" s="58">
      <c r="A44" s="58" t="n">
        <v>6.9</v>
      </c>
      <c r="B44" s="58" t="n">
        <v>10</v>
      </c>
      <c r="C44" s="59" t="n">
        <v>7000</v>
      </c>
      <c r="D44" s="60" t="n">
        <v>24</v>
      </c>
      <c r="E44" s="60" t="n">
        <v>2</v>
      </c>
      <c r="F44" s="58">
        <f>E44/D44</f>
        <v/>
      </c>
      <c r="H44" s="58" t="n">
        <v>1.5436</v>
      </c>
      <c r="I44" s="58" t="n">
        <v>0.3386</v>
      </c>
      <c r="J44" s="61" t="n">
        <v>0.0152</v>
      </c>
      <c r="K44" s="62">
        <f>J44/I44</f>
        <v/>
      </c>
      <c r="L44" s="58">
        <f>D44/I44</f>
        <v/>
      </c>
      <c r="N44" s="59">
        <f>(1/C44)*(B44/100)</f>
        <v/>
      </c>
      <c r="O44" s="59" t="n">
        <v>1500000</v>
      </c>
      <c r="P44" s="59" t="n">
        <v>1000</v>
      </c>
      <c r="Q44" s="59" t="n">
        <v>5500000</v>
      </c>
      <c r="R44" s="59" t="n">
        <v>1.1e-09</v>
      </c>
      <c r="S44" s="59" t="n">
        <v>4.9e-09</v>
      </c>
      <c r="T44" s="59">
        <f>P44+(Q44^2*(L44*1000)^2/((96485^2)*S44))^(1/3)</f>
        <v/>
      </c>
      <c r="U44" s="63">
        <f>(T44/(O44*50) + 1)^-1</f>
        <v/>
      </c>
      <c r="V44" s="59">
        <f>((3.14/4)*(96485^2)*S44/((L44*1000)^2))*(50-T44/O44)^2</f>
        <v/>
      </c>
      <c r="W44" s="59">
        <f>V44/N44</f>
        <v/>
      </c>
      <c r="X44" s="64">
        <f>SQRT(1/W44)</f>
        <v/>
      </c>
      <c r="Y44" s="65">
        <f>1 - SQRT(100/B44) + SQRT(100/B44 - 1)</f>
        <v/>
      </c>
    </row>
    <row r="45" customFormat="1" s="49">
      <c r="A45" s="49" t="n">
        <v>7</v>
      </c>
      <c r="B45" s="49" t="n">
        <v>2.5</v>
      </c>
      <c r="C45" s="50" t="n">
        <v>8000</v>
      </c>
      <c r="D45" s="55" t="n">
        <v>28.9</v>
      </c>
      <c r="E45" s="55" t="n">
        <v>6</v>
      </c>
      <c r="F45" s="49">
        <f>E45/D45</f>
        <v/>
      </c>
      <c r="H45" s="51" t="n">
        <v>1.538</v>
      </c>
      <c r="I45" s="49" t="n">
        <v>1.2339</v>
      </c>
      <c r="J45" s="51" t="n">
        <v>0.2102</v>
      </c>
      <c r="K45" s="52">
        <f>J45/I45</f>
        <v/>
      </c>
      <c r="L45" s="49">
        <f>D45/I45</f>
        <v/>
      </c>
      <c r="N45" s="50">
        <f>(1/C45)*(B45/100)</f>
        <v/>
      </c>
      <c r="O45" s="50" t="n">
        <v>1500000</v>
      </c>
      <c r="P45" s="50" t="n">
        <v>1000</v>
      </c>
      <c r="Q45" s="50" t="n">
        <v>5500000</v>
      </c>
      <c r="R45" s="50" t="n">
        <v>1.1e-09</v>
      </c>
      <c r="S45" s="50" t="n">
        <v>4.9e-09</v>
      </c>
      <c r="T45" s="50">
        <f>P45+(Q45^2*(L45*1000)^2/((96485^2)*S45))^(1/3)</f>
        <v/>
      </c>
      <c r="U45" s="57">
        <f>(T45/(O45*50) + 1)^-1</f>
        <v/>
      </c>
      <c r="V45" s="50">
        <f>((3.14/4)*(96485^2)*S45/((L45*1000)^2))*(50-T45/O45)^2</f>
        <v/>
      </c>
      <c r="W45" s="50">
        <f>V45/N45</f>
        <v/>
      </c>
      <c r="X45" s="56">
        <f>SQRT(1/W45)</f>
        <v/>
      </c>
      <c r="Y45" s="53">
        <f>1 - SQRT(100/B45) + SQRT(100/B45 - 1)</f>
        <v/>
      </c>
    </row>
    <row r="46" customFormat="1" s="49">
      <c r="A46" s="49" t="n">
        <v>6.9</v>
      </c>
      <c r="B46" s="49" t="n">
        <v>5</v>
      </c>
      <c r="C46" s="50" t="n">
        <v>8000</v>
      </c>
      <c r="D46" s="55" t="n">
        <v>25.9</v>
      </c>
      <c r="E46" s="55" t="n">
        <v>3</v>
      </c>
      <c r="F46" s="49">
        <f>E46/D46</f>
        <v/>
      </c>
      <c r="H46" s="49" t="n">
        <v>1.5175</v>
      </c>
      <c r="I46" s="49" t="n">
        <v>1.3259</v>
      </c>
      <c r="J46" s="51" t="n">
        <v>0.3981</v>
      </c>
      <c r="K46" s="52">
        <f>J46/I46</f>
        <v/>
      </c>
      <c r="L46" s="49">
        <f>D46/I46</f>
        <v/>
      </c>
      <c r="N46" s="50">
        <f>(1/C46)*(B46/100)</f>
        <v/>
      </c>
      <c r="O46" s="50" t="n">
        <v>1500000</v>
      </c>
      <c r="P46" s="50" t="n">
        <v>1000</v>
      </c>
      <c r="Q46" s="50" t="n">
        <v>5500000</v>
      </c>
      <c r="R46" s="50" t="n">
        <v>1.1e-09</v>
      </c>
      <c r="S46" s="50" t="n">
        <v>4.9e-09</v>
      </c>
      <c r="T46" s="50">
        <f>P46+(Q46^2*(L46*1000)^2/((96485^2)*S46))^(1/3)</f>
        <v/>
      </c>
      <c r="U46" s="57">
        <f>(T46/(O46*50) + 1)^-1</f>
        <v/>
      </c>
      <c r="V46" s="50">
        <f>((3.14/4)*(96485^2)*S46/((L46*1000)^2))*(50-T46/O46)^2</f>
        <v/>
      </c>
      <c r="W46" s="50">
        <f>V46/N46</f>
        <v/>
      </c>
      <c r="X46" s="56">
        <f>SQRT(1/W46)</f>
        <v/>
      </c>
      <c r="Y46" s="53">
        <f>1 - SQRT(100/B46) + SQRT(100/B46 - 1)</f>
        <v/>
      </c>
    </row>
    <row r="47" customFormat="1" s="58">
      <c r="A47" s="58" t="n">
        <v>7.1</v>
      </c>
      <c r="B47" s="58" t="n">
        <v>7.5</v>
      </c>
      <c r="C47" s="59" t="n">
        <v>8000</v>
      </c>
      <c r="D47" s="60" t="n">
        <v>24.3</v>
      </c>
      <c r="E47" s="60" t="n">
        <v>2.3</v>
      </c>
      <c r="F47" s="58">
        <f>E47/D47</f>
        <v/>
      </c>
      <c r="H47" s="58" t="n">
        <v>1.5348</v>
      </c>
      <c r="I47" s="58" t="n">
        <v>0.5665</v>
      </c>
      <c r="J47" s="61" t="n">
        <v>0.045</v>
      </c>
      <c r="K47" s="62">
        <f>J47/I47</f>
        <v/>
      </c>
      <c r="L47" s="58">
        <f>D47/I47</f>
        <v/>
      </c>
      <c r="N47" s="59">
        <f>(1/C47)*(B47/100)</f>
        <v/>
      </c>
      <c r="O47" s="59" t="n">
        <v>1500000</v>
      </c>
      <c r="P47" s="59" t="n">
        <v>1000</v>
      </c>
      <c r="Q47" s="59" t="n">
        <v>5500000</v>
      </c>
      <c r="R47" s="59" t="n">
        <v>1.1e-09</v>
      </c>
      <c r="S47" s="59" t="n">
        <v>4.9e-09</v>
      </c>
      <c r="T47" s="59">
        <f>P47+(Q47^2*(L47*1000)^2/((96485^2)*S47))^(1/3)</f>
        <v/>
      </c>
      <c r="U47" s="63">
        <f>(T47/(O47*50) + 1)^-1</f>
        <v/>
      </c>
      <c r="V47" s="59">
        <f>((3.14/4)*(96485^2)*S47/((L47*1000)^2))*(50-T47/O47)^2</f>
        <v/>
      </c>
      <c r="W47" s="59">
        <f>V47/N47</f>
        <v/>
      </c>
      <c r="X47" s="64">
        <f>SQRT(1/W47)</f>
        <v/>
      </c>
      <c r="Y47" s="65">
        <f>1 - SQRT(100/B47) + SQRT(100/B47 - 1)</f>
        <v/>
      </c>
    </row>
    <row r="48" customFormat="1" s="58">
      <c r="A48" s="58" t="n">
        <v>7.5</v>
      </c>
      <c r="B48" s="58" t="n">
        <v>10</v>
      </c>
      <c r="C48" s="59" t="n">
        <v>8000</v>
      </c>
      <c r="D48" s="60" t="n">
        <v>23.9</v>
      </c>
      <c r="E48" s="60" t="n">
        <v>2</v>
      </c>
      <c r="F48" s="58">
        <f>E48/D48</f>
        <v/>
      </c>
      <c r="H48" s="58" t="n">
        <v>1.5525</v>
      </c>
      <c r="I48" s="58" t="n">
        <v>0.4055</v>
      </c>
      <c r="J48" s="61" t="n">
        <v>0.0243</v>
      </c>
      <c r="K48" s="62">
        <f>J48/I48</f>
        <v/>
      </c>
      <c r="L48" s="58">
        <f>D48/I48</f>
        <v/>
      </c>
      <c r="N48" s="59">
        <f>(1/C48)*(B48/100)</f>
        <v/>
      </c>
      <c r="O48" s="59" t="n">
        <v>1500000</v>
      </c>
      <c r="P48" s="59" t="n">
        <v>1000</v>
      </c>
      <c r="Q48" s="59" t="n">
        <v>5500000</v>
      </c>
      <c r="R48" s="59" t="n">
        <v>1.1e-09</v>
      </c>
      <c r="S48" s="59" t="n">
        <v>4.9e-09</v>
      </c>
      <c r="T48" s="59">
        <f>P48+(Q48^2*(L48*1000)^2/((96485^2)*S48))^(1/3)</f>
        <v/>
      </c>
      <c r="U48" s="63">
        <f>(T48/(O48*50) + 1)^-1</f>
        <v/>
      </c>
      <c r="V48" s="59">
        <f>((3.14/4)*(96485^2)*S48/((L48*1000)^2))*(50-T48/O48)^2</f>
        <v/>
      </c>
      <c r="W48" s="59">
        <f>V48/N48</f>
        <v/>
      </c>
      <c r="X48" s="64">
        <f>SQRT(1/W48)</f>
        <v/>
      </c>
      <c r="Y48" s="65">
        <f>1 - SQRT(100/B48) + SQRT(100/B48 - 1)</f>
        <v/>
      </c>
    </row>
    <row r="49" customFormat="1" s="49">
      <c r="A49" s="49" t="n">
        <v>8.699999999999999</v>
      </c>
      <c r="B49" s="49" t="n">
        <v>2.5</v>
      </c>
      <c r="C49" s="50" t="n">
        <v>9500</v>
      </c>
      <c r="D49" s="55" t="n">
        <v>30.7</v>
      </c>
      <c r="E49" s="55" t="n">
        <v>6.8</v>
      </c>
      <c r="F49" s="49">
        <f>E49/D49</f>
        <v/>
      </c>
      <c r="H49" s="51" t="n">
        <v>1.567</v>
      </c>
      <c r="I49" s="49" t="n">
        <v>1.2883</v>
      </c>
      <c r="J49" s="51" t="n">
        <v>0.2971</v>
      </c>
      <c r="K49" s="52">
        <f>J49/I49</f>
        <v/>
      </c>
      <c r="L49" s="49">
        <f>D49/I49</f>
        <v/>
      </c>
      <c r="N49" s="50">
        <f>(1/C49)*(B49/100)</f>
        <v/>
      </c>
      <c r="O49" s="50" t="n">
        <v>1500000</v>
      </c>
      <c r="P49" s="50" t="n">
        <v>1000</v>
      </c>
      <c r="Q49" s="50" t="n">
        <v>5500000</v>
      </c>
      <c r="R49" s="50" t="n">
        <v>1.1e-09</v>
      </c>
      <c r="S49" s="50" t="n">
        <v>4.9e-09</v>
      </c>
      <c r="T49" s="50">
        <f>P49+(Q49^2*(L49*1000)^2/((96485^2)*S49))^(1/3)</f>
        <v/>
      </c>
      <c r="U49" s="57">
        <f>(T49/(O49*50) + 1)^-1</f>
        <v/>
      </c>
      <c r="V49" s="50">
        <f>((3.14/4)*(96485^2)*S49/((L49*1000)^2))*(50-T49/O49)^2</f>
        <v/>
      </c>
      <c r="W49" s="50">
        <f>V49/N49</f>
        <v/>
      </c>
      <c r="X49" s="56">
        <f>SQRT(1/W49)</f>
        <v/>
      </c>
      <c r="Y49" s="53">
        <f>1 - SQRT(100/B49) + SQRT(100/B49 - 1)</f>
        <v/>
      </c>
    </row>
    <row r="50" customFormat="1" s="49">
      <c r="A50" s="49" t="n">
        <v>9</v>
      </c>
      <c r="B50" s="49" t="n">
        <v>5</v>
      </c>
      <c r="C50" s="50" t="n">
        <v>9500</v>
      </c>
      <c r="D50" s="55" t="n">
        <v>29.3</v>
      </c>
      <c r="E50" s="55" t="n">
        <v>4.2</v>
      </c>
      <c r="F50" s="49">
        <f>E50/D50</f>
        <v/>
      </c>
      <c r="H50" s="49" t="n">
        <v>1.5553</v>
      </c>
      <c r="I50" s="49" t="n">
        <v>2.1517</v>
      </c>
      <c r="J50" s="51" t="n">
        <v>5.552</v>
      </c>
      <c r="K50" s="52">
        <f>J50/I50</f>
        <v/>
      </c>
      <c r="L50" s="49">
        <f>D50/I50</f>
        <v/>
      </c>
      <c r="N50" s="50">
        <f>(1/C50)*(B50/100)</f>
        <v/>
      </c>
      <c r="O50" s="50" t="n">
        <v>1500000</v>
      </c>
      <c r="P50" s="50" t="n">
        <v>1000</v>
      </c>
      <c r="Q50" s="50" t="n">
        <v>5500000</v>
      </c>
      <c r="R50" s="50" t="n">
        <v>1.1e-09</v>
      </c>
      <c r="S50" s="50" t="n">
        <v>4.9e-09</v>
      </c>
      <c r="T50" s="50">
        <f>P50+(Q50^2*(L50*1000)^2/((96485^2)*S50))^(1/3)</f>
        <v/>
      </c>
      <c r="U50" s="57">
        <f>(T50/(O50*50) + 1)^-1</f>
        <v/>
      </c>
      <c r="V50" s="50">
        <f>((3.14/4)*(96485^2)*S50/((L50*1000)^2))*(50-T50/O50)^2</f>
        <v/>
      </c>
      <c r="W50" s="50">
        <f>V50/N50</f>
        <v/>
      </c>
      <c r="X50" s="56">
        <f>SQRT(1/W50)</f>
        <v/>
      </c>
      <c r="Y50" s="53">
        <f>1 - SQRT(100/B50) + SQRT(100/B50 - 1)</f>
        <v/>
      </c>
    </row>
    <row r="51" customFormat="1" s="58">
      <c r="A51" s="58" t="n">
        <v>9.4</v>
      </c>
      <c r="B51" s="58" t="n">
        <v>7.5</v>
      </c>
      <c r="C51" s="59" t="n">
        <v>9500</v>
      </c>
      <c r="D51" s="60" t="n">
        <v>28.5</v>
      </c>
      <c r="E51" s="60" t="n">
        <v>3.3</v>
      </c>
      <c r="F51" s="58">
        <f>E51/D51</f>
        <v/>
      </c>
      <c r="H51" s="58" t="n">
        <v>1.5846</v>
      </c>
      <c r="I51" s="58" t="n">
        <v>0.6569</v>
      </c>
      <c r="J51" s="61" t="n">
        <v>0.0286</v>
      </c>
      <c r="K51" s="62">
        <f>J51/I51</f>
        <v/>
      </c>
      <c r="L51" s="58">
        <f>D51/I51</f>
        <v/>
      </c>
      <c r="N51" s="59">
        <f>(1/C51)*(B51/100)</f>
        <v/>
      </c>
      <c r="O51" s="59" t="n">
        <v>1500000</v>
      </c>
      <c r="P51" s="59" t="n">
        <v>1000</v>
      </c>
      <c r="Q51" s="59" t="n">
        <v>5500000</v>
      </c>
      <c r="R51" s="59" t="n">
        <v>1.1e-09</v>
      </c>
      <c r="S51" s="59" t="n">
        <v>4.9e-09</v>
      </c>
      <c r="T51" s="59">
        <f>P51+(Q51^2*(L51*1000)^2/((96485^2)*S51))^(1/3)</f>
        <v/>
      </c>
      <c r="U51" s="63">
        <f>(T51/(O51*50) + 1)^-1</f>
        <v/>
      </c>
      <c r="V51" s="59">
        <f>((3.14/4)*(96485^2)*S51/((L51*1000)^2))*(50-T51/O51)^2</f>
        <v/>
      </c>
      <c r="W51" s="59">
        <f>V51/N51</f>
        <v/>
      </c>
      <c r="X51" s="64">
        <f>SQRT(1/W51)</f>
        <v/>
      </c>
      <c r="Y51" s="65">
        <f>1 - SQRT(100/B51) + SQRT(100/B51 - 1)</f>
        <v/>
      </c>
    </row>
    <row r="52" customFormat="1" s="58">
      <c r="A52" s="58" t="n">
        <v>8.5</v>
      </c>
      <c r="B52" s="58" t="n">
        <v>10</v>
      </c>
      <c r="C52" s="59" t="n">
        <v>9500</v>
      </c>
      <c r="D52" s="60" t="n">
        <v>22.2</v>
      </c>
      <c r="E52" s="60" t="n">
        <v>2</v>
      </c>
      <c r="F52" s="58">
        <f>E52/D52</f>
        <v/>
      </c>
      <c r="H52" s="58" t="n">
        <v>1.5525</v>
      </c>
      <c r="I52" s="58" t="n">
        <v>0.4093</v>
      </c>
      <c r="J52" s="61" t="n">
        <v>0.0075</v>
      </c>
      <c r="K52" s="62">
        <f>J52/I52</f>
        <v/>
      </c>
      <c r="L52" s="58">
        <f>D52/I52</f>
        <v/>
      </c>
      <c r="N52" s="59">
        <f>(1/C52)*(B52/100)</f>
        <v/>
      </c>
      <c r="O52" s="59" t="n">
        <v>1500000</v>
      </c>
      <c r="P52" s="59" t="n">
        <v>1000</v>
      </c>
      <c r="Q52" s="59" t="n">
        <v>5500000</v>
      </c>
      <c r="R52" s="59" t="n">
        <v>1.1e-09</v>
      </c>
      <c r="S52" s="59" t="n">
        <v>4.9e-09</v>
      </c>
      <c r="T52" s="59">
        <f>P52+(Q52^2*(L52*1000)^2/((96485^2)*S52))^(1/3)</f>
        <v/>
      </c>
      <c r="U52" s="63">
        <f>(T52/(O52*50) + 1)^-1</f>
        <v/>
      </c>
      <c r="V52" s="59">
        <f>((3.14/4)*(96485^2)*S52/((L52*1000)^2))*(50-T52/O52)^2</f>
        <v/>
      </c>
      <c r="W52" s="59">
        <f>V52/N52</f>
        <v/>
      </c>
      <c r="X52" s="64">
        <f>SQRT(1/W52)</f>
        <v/>
      </c>
      <c r="Y52" s="65">
        <f>1 - SQRT(100/B52) + SQRT(100/B52 - 1)</f>
        <v/>
      </c>
    </row>
    <row r="53" customFormat="1" s="49">
      <c r="A53" s="49" t="n">
        <v>8.4</v>
      </c>
      <c r="B53" s="49" t="n">
        <v>2.5</v>
      </c>
      <c r="C53" s="50" t="n">
        <v>9000</v>
      </c>
      <c r="D53" s="55" t="n">
        <v>31.3</v>
      </c>
      <c r="E53" s="55" t="n">
        <v>6.6</v>
      </c>
      <c r="F53" s="49">
        <f>E53/D53</f>
        <v/>
      </c>
      <c r="H53" s="49" t="n">
        <v>1.5527</v>
      </c>
      <c r="I53" s="49" t="n">
        <v>3.0434</v>
      </c>
      <c r="J53" s="51" t="n">
        <v>2.0878</v>
      </c>
      <c r="K53" s="52">
        <f>J53/I53</f>
        <v/>
      </c>
      <c r="L53" s="49">
        <f>D53/I53</f>
        <v/>
      </c>
      <c r="N53" s="50">
        <f>(1/C53)*(B53/100)</f>
        <v/>
      </c>
      <c r="O53" s="50" t="n">
        <v>1500000</v>
      </c>
      <c r="P53" s="50" t="n">
        <v>1000</v>
      </c>
      <c r="Q53" s="50" t="n">
        <v>5500000</v>
      </c>
      <c r="R53" s="50" t="n">
        <v>1.1e-09</v>
      </c>
      <c r="S53" s="50" t="n">
        <v>4.9e-09</v>
      </c>
      <c r="T53" s="50">
        <f>P53+(Q53^2*(L53*1000)^2/((96485^2)*S53))^(1/3)</f>
        <v/>
      </c>
      <c r="U53" s="57">
        <f>(T53/(O53*50) + 1)^-1</f>
        <v/>
      </c>
      <c r="V53" s="50">
        <f>((3.14/4)*(96485^2)*S53/((L53*1000)^2))*(50-T53/O53)^2</f>
        <v/>
      </c>
      <c r="W53" s="50">
        <f>V53/N53</f>
        <v/>
      </c>
      <c r="X53" s="56">
        <f>SQRT(1/W53)</f>
        <v/>
      </c>
      <c r="Y53" s="53">
        <f>1 - SQRT(100/B53) + SQRT(100/B53 - 1)</f>
        <v/>
      </c>
    </row>
    <row r="54" customFormat="1" s="31">
      <c r="A54" s="31" t="n">
        <v>8.300000000000001</v>
      </c>
      <c r="B54" s="31" t="n">
        <v>5</v>
      </c>
      <c r="C54" s="33" t="n">
        <v>9000</v>
      </c>
      <c r="D54" s="32" t="n">
        <v>28.2</v>
      </c>
      <c r="E54" s="32" t="n">
        <v>3.8</v>
      </c>
      <c r="F54" s="31">
        <f>E54/D54</f>
        <v/>
      </c>
      <c r="H54" s="31" t="n">
        <v>1.5408</v>
      </c>
      <c r="I54" s="31" t="n">
        <v>1.0051</v>
      </c>
      <c r="J54" s="31" t="n">
        <v>0.0699</v>
      </c>
      <c r="K54" s="34">
        <f>J54/I54</f>
        <v/>
      </c>
      <c r="L54" s="31">
        <f>D54/I54</f>
        <v/>
      </c>
      <c r="N54" s="33">
        <f>(1/C54)*(B54/100)</f>
        <v/>
      </c>
      <c r="O54" s="33" t="n">
        <v>1500000</v>
      </c>
      <c r="P54" s="33" t="n">
        <v>1000</v>
      </c>
      <c r="Q54" s="33" t="n">
        <v>5500000</v>
      </c>
      <c r="R54" s="33" t="n">
        <v>1.1e-09</v>
      </c>
      <c r="S54" s="33" t="n">
        <v>4.9e-09</v>
      </c>
      <c r="T54" s="33">
        <f>P54+(Q54^2*(L54*1000)^2/((96485^2)*S54))^(1/3)</f>
        <v/>
      </c>
      <c r="U54" s="36">
        <f>(T54/(O54*50) + 1)^-1</f>
        <v/>
      </c>
      <c r="V54" s="33">
        <f>((3.14/4)*(96485^2)*S54/((L54*1000)^2))*(50-T54/O54)^2</f>
        <v/>
      </c>
      <c r="W54" s="33">
        <f>V54/N54</f>
        <v/>
      </c>
      <c r="X54" s="37">
        <f>SQRT(1/W54)</f>
        <v/>
      </c>
      <c r="Y54" s="38">
        <f>1 - SQRT(100/B54) + SQRT(100/B54 - 1)</f>
        <v/>
      </c>
    </row>
    <row r="55" customFormat="1" s="58">
      <c r="A55" s="58" t="n">
        <v>7.8</v>
      </c>
      <c r="B55" s="58" t="n">
        <v>7.5</v>
      </c>
      <c r="C55" s="59" t="n">
        <v>9000</v>
      </c>
      <c r="D55" s="60" t="n">
        <v>24.4</v>
      </c>
      <c r="E55" s="60" t="n">
        <v>2.6</v>
      </c>
      <c r="F55" s="58">
        <f>E55/D55</f>
        <v/>
      </c>
      <c r="H55" s="58" t="n">
        <v>1.5291</v>
      </c>
      <c r="I55" s="58" t="n">
        <v>0.4275</v>
      </c>
      <c r="J55" s="58" t="n">
        <v>0.0187</v>
      </c>
      <c r="K55" s="62">
        <f>J55/I55</f>
        <v/>
      </c>
      <c r="L55" s="58">
        <f>D55/I55</f>
        <v/>
      </c>
      <c r="N55" s="59">
        <f>(1/C55)*(B55/100)</f>
        <v/>
      </c>
      <c r="O55" s="59" t="n">
        <v>1500000</v>
      </c>
      <c r="P55" s="59" t="n">
        <v>1000</v>
      </c>
      <c r="Q55" s="59" t="n">
        <v>5500000</v>
      </c>
      <c r="R55" s="59" t="n">
        <v>1.1e-09</v>
      </c>
      <c r="S55" s="59" t="n">
        <v>4.9e-09</v>
      </c>
      <c r="T55" s="59">
        <f>P55+(Q55^2*(L55*1000)^2/((96485^2)*S55))^(1/3)</f>
        <v/>
      </c>
      <c r="U55" s="63">
        <f>(T55/(O55*50) + 1)^-1</f>
        <v/>
      </c>
      <c r="V55" s="59">
        <f>((3.14/4)*(96485^2)*S55/((L55*1000)^2))*(50-T55/O55)^2</f>
        <v/>
      </c>
      <c r="W55" s="59">
        <f>V55/N55</f>
        <v/>
      </c>
      <c r="X55" s="64">
        <f>SQRT(1/W55)</f>
        <v/>
      </c>
      <c r="Y55" s="65">
        <f>1 - SQRT(100/B55) + SQRT(100/B55 - 1)</f>
        <v/>
      </c>
    </row>
    <row r="56" customFormat="1" s="58">
      <c r="A56" s="58" t="n">
        <v>6.8</v>
      </c>
      <c r="B56" s="58" t="n">
        <v>10</v>
      </c>
      <c r="C56" s="59" t="n">
        <v>9000</v>
      </c>
      <c r="D56" s="58" t="n">
        <v>19.5</v>
      </c>
      <c r="E56" s="60" t="n">
        <v>1.6</v>
      </c>
      <c r="F56" s="58">
        <f>E56/D56</f>
        <v/>
      </c>
      <c r="H56" s="58" t="n">
        <v>1.5465</v>
      </c>
      <c r="I56" s="61" t="n">
        <v>0.305</v>
      </c>
      <c r="J56" s="58" t="n">
        <v>0.0107</v>
      </c>
      <c r="K56" s="62">
        <f>J56/I56</f>
        <v/>
      </c>
      <c r="L56" s="58">
        <f>D56/I56</f>
        <v/>
      </c>
      <c r="N56" s="59">
        <f>(1/C56)*(B56/100)</f>
        <v/>
      </c>
      <c r="O56" s="59" t="n">
        <v>1500000</v>
      </c>
      <c r="P56" s="59" t="n">
        <v>1000</v>
      </c>
      <c r="Q56" s="59" t="n">
        <v>5500000</v>
      </c>
      <c r="R56" s="59" t="n">
        <v>1.1e-09</v>
      </c>
      <c r="S56" s="59" t="n">
        <v>4.9e-09</v>
      </c>
      <c r="T56" s="59">
        <f>P56+(Q56^2*(L56*1000)^2/((96485^2)*S56))^(1/3)</f>
        <v/>
      </c>
      <c r="U56" s="63">
        <f>(T56/(O56*50) + 1)^-1</f>
        <v/>
      </c>
      <c r="V56" s="59">
        <f>((3.14/4)*(96485^2)*S56/((L56*1000)^2))*(50-T56/O56)^2</f>
        <v/>
      </c>
      <c r="W56" s="59">
        <f>V56/N56</f>
        <v/>
      </c>
      <c r="X56" s="64">
        <f>SQRT(1/W56)</f>
        <v/>
      </c>
      <c r="Y56" s="65">
        <f>1 - SQRT(100/B56) + SQRT(100/B56 - 1)</f>
        <v/>
      </c>
    </row>
    <row r="57">
      <c r="K57" s="48" t="n"/>
    </row>
    <row r="58">
      <c r="K58" s="48" t="n"/>
    </row>
    <row r="59">
      <c r="K59" s="48" t="n"/>
    </row>
    <row r="60">
      <c r="K60" s="48" t="n"/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G11" sqref="G11"/>
    </sheetView>
  </sheetViews>
  <sheetFormatPr baseColWidth="10" defaultColWidth="8.83203125" defaultRowHeight="15"/>
  <cols>
    <col width="16.6640625" customWidth="1" min="1" max="1"/>
    <col width="16.1640625" customWidth="1" min="2" max="2"/>
    <col width="12.5" customWidth="1" min="3" max="3"/>
    <col width="14.6640625" customWidth="1" min="4" max="4"/>
  </cols>
  <sheetData>
    <row r="1">
      <c r="A1" s="2" t="inlineStr">
        <is>
          <t>Condition</t>
        </is>
      </c>
      <c r="B1" s="2" t="inlineStr">
        <is>
          <t>Sample ID</t>
        </is>
      </c>
      <c r="C1" s="2" t="inlineStr">
        <is>
          <t>Experiment?</t>
        </is>
      </c>
      <c r="D1" s="2" t="inlineStr">
        <is>
          <t>ISE?</t>
        </is>
      </c>
      <c r="E1" s="2" t="inlineStr">
        <is>
          <t>FE (%)</t>
        </is>
      </c>
    </row>
    <row r="2">
      <c r="A2" t="inlineStr">
        <is>
          <t>50 mM, 1.5 mA, #1</t>
        </is>
      </c>
      <c r="B2" t="inlineStr">
        <is>
          <t>1DC-c</t>
        </is>
      </c>
      <c r="C2" t="inlineStr">
        <is>
          <t>Yes</t>
        </is>
      </c>
      <c r="D2" t="inlineStr">
        <is>
          <t>Yes</t>
        </is>
      </c>
      <c r="E2" t="n">
        <v>56.72</v>
      </c>
    </row>
    <row r="3">
      <c r="A3" t="inlineStr">
        <is>
          <t>50 mM, 1.5 mA, #1</t>
        </is>
      </c>
      <c r="B3" t="inlineStr">
        <is>
          <t>1DC-a</t>
        </is>
      </c>
      <c r="C3" t="inlineStr">
        <is>
          <t>Yes</t>
        </is>
      </c>
      <c r="D3" t="inlineStr">
        <is>
          <t>Yes</t>
        </is>
      </c>
      <c r="E3" t="n">
        <v>-10.29</v>
      </c>
    </row>
    <row r="4">
      <c r="A4" s="8" t="inlineStr">
        <is>
          <t>20 mM, 1.5 mA, #1</t>
        </is>
      </c>
      <c r="B4" s="8" t="inlineStr">
        <is>
          <t>2DC-c</t>
        </is>
      </c>
      <c r="C4" s="8" t="inlineStr">
        <is>
          <t>Yes</t>
        </is>
      </c>
      <c r="D4" s="8" t="inlineStr">
        <is>
          <t>Yes</t>
        </is>
      </c>
      <c r="E4" s="8" t="n">
        <v>14.57</v>
      </c>
    </row>
    <row r="5">
      <c r="A5" s="8" t="inlineStr">
        <is>
          <t>20 mM, 1.5 mA, #1</t>
        </is>
      </c>
      <c r="B5" s="8" t="inlineStr">
        <is>
          <t>2DC-a</t>
        </is>
      </c>
      <c r="C5" s="8" t="inlineStr">
        <is>
          <t>Yes</t>
        </is>
      </c>
      <c r="D5" s="8" t="inlineStr">
        <is>
          <t>Yes</t>
        </is>
      </c>
      <c r="E5" s="8" t="n">
        <v>-10.65</v>
      </c>
    </row>
    <row r="6">
      <c r="A6" s="8" t="inlineStr">
        <is>
          <t>20 mM, 3 mA, #1</t>
        </is>
      </c>
      <c r="B6" s="8" t="inlineStr">
        <is>
          <t>3DC-c</t>
        </is>
      </c>
      <c r="C6" s="8" t="inlineStr">
        <is>
          <t>Yes</t>
        </is>
      </c>
      <c r="D6" s="8" t="inlineStr">
        <is>
          <t>Yes</t>
        </is>
      </c>
      <c r="E6" s="8" t="n">
        <v>16.92</v>
      </c>
    </row>
    <row r="7">
      <c r="A7" s="8" t="inlineStr">
        <is>
          <t>20 mM, 3 mA, #1</t>
        </is>
      </c>
      <c r="B7" s="8" t="inlineStr">
        <is>
          <t>3DC-a</t>
        </is>
      </c>
      <c r="C7" s="8" t="inlineStr">
        <is>
          <t>Yes</t>
        </is>
      </c>
      <c r="D7" s="8" t="inlineStr">
        <is>
          <t>Yes</t>
        </is>
      </c>
      <c r="E7" s="8" t="n">
        <v>-5.07</v>
      </c>
      <c r="K7" s="8" t="inlineStr">
        <is>
          <t>All 20 mM data is now suspect: could have been 10 mM.</t>
        </is>
      </c>
    </row>
    <row r="8">
      <c r="A8" t="inlineStr">
        <is>
          <t>50 mM, 3 mA, #1</t>
        </is>
      </c>
      <c r="B8" t="inlineStr">
        <is>
          <t>4DC-c</t>
        </is>
      </c>
      <c r="C8" t="inlineStr">
        <is>
          <t>Yes</t>
        </is>
      </c>
      <c r="D8" t="inlineStr">
        <is>
          <t>Yes</t>
        </is>
      </c>
      <c r="E8" t="n">
        <v>48.85</v>
      </c>
      <c r="K8" s="8" t="inlineStr">
        <is>
          <t>Personal failure to appropriately record volumes used in experiment preparation.</t>
        </is>
      </c>
    </row>
    <row r="9">
      <c r="A9" t="inlineStr">
        <is>
          <t>50 mM, 3 mA, #1</t>
        </is>
      </c>
      <c r="B9" t="inlineStr">
        <is>
          <t>4DC-a</t>
        </is>
      </c>
      <c r="C9" t="inlineStr">
        <is>
          <t>Yes</t>
        </is>
      </c>
      <c r="D9" t="inlineStr">
        <is>
          <t>Yes</t>
        </is>
      </c>
      <c r="E9" t="n">
        <v>-4.88</v>
      </c>
    </row>
    <row r="10">
      <c r="A10" s="8" t="inlineStr">
        <is>
          <t>20 mM, 6 mA, #1</t>
        </is>
      </c>
      <c r="B10" s="8" t="inlineStr">
        <is>
          <t>5DC-c</t>
        </is>
      </c>
      <c r="C10" s="8" t="inlineStr">
        <is>
          <t>Yes</t>
        </is>
      </c>
      <c r="D10" s="8" t="inlineStr">
        <is>
          <t>Yes</t>
        </is>
      </c>
      <c r="E10" s="8" t="n">
        <v>12.8</v>
      </c>
    </row>
    <row r="11">
      <c r="A11" s="8" t="inlineStr">
        <is>
          <t>20 mM, 6 mA, #1</t>
        </is>
      </c>
      <c r="B11" s="8" t="inlineStr">
        <is>
          <t>5DC-a</t>
        </is>
      </c>
      <c r="C11" s="8" t="inlineStr">
        <is>
          <t>Yes</t>
        </is>
      </c>
      <c r="D11" s="8" t="inlineStr">
        <is>
          <t>Yes</t>
        </is>
      </c>
      <c r="E11" s="8" t="n">
        <v>2.54</v>
      </c>
    </row>
    <row r="12">
      <c r="A12" t="inlineStr">
        <is>
          <t>50 mM, 6 mA, #1</t>
        </is>
      </c>
      <c r="B12" t="inlineStr">
        <is>
          <t>6DC-c</t>
        </is>
      </c>
      <c r="C12" t="inlineStr">
        <is>
          <t>Yes</t>
        </is>
      </c>
      <c r="D12" t="inlineStr">
        <is>
          <t>Yes</t>
        </is>
      </c>
      <c r="E12" t="n">
        <v>42.87</v>
      </c>
    </row>
    <row r="13">
      <c r="A13" t="inlineStr">
        <is>
          <t>50 mM, 6 mA, #1</t>
        </is>
      </c>
      <c r="B13" t="inlineStr">
        <is>
          <t>6DC-a</t>
        </is>
      </c>
      <c r="C13" t="inlineStr">
        <is>
          <t>Yes</t>
        </is>
      </c>
      <c r="D13" t="inlineStr">
        <is>
          <t>Yes</t>
        </is>
      </c>
      <c r="E13" t="n">
        <v>-3.51</v>
      </c>
    </row>
    <row r="14">
      <c r="A14" s="8" t="inlineStr">
        <is>
          <t>20 mM, 1.5 mA, #2</t>
        </is>
      </c>
      <c r="B14" s="8" t="inlineStr">
        <is>
          <t>7DC-c</t>
        </is>
      </c>
      <c r="C14" s="8" t="inlineStr">
        <is>
          <t>Yes</t>
        </is>
      </c>
      <c r="D14" s="8" t="inlineStr">
        <is>
          <t>Yes</t>
        </is>
      </c>
      <c r="E14" s="8" t="n">
        <v>14.29</v>
      </c>
    </row>
    <row r="15">
      <c r="A15" t="inlineStr">
        <is>
          <t>50 mM, 3.0 mA, #2</t>
        </is>
      </c>
      <c r="B15" t="inlineStr">
        <is>
          <t>8DC-c</t>
        </is>
      </c>
      <c r="C15" t="inlineStr">
        <is>
          <t>Yes</t>
        </is>
      </c>
      <c r="D15" t="inlineStr">
        <is>
          <t>Yes</t>
        </is>
      </c>
      <c r="E15" t="n">
        <v>55.03</v>
      </c>
    </row>
    <row r="16">
      <c r="A16" s="8" t="inlineStr">
        <is>
          <t>20 mM, 1.5 mA, #3</t>
        </is>
      </c>
      <c r="B16" s="8" t="inlineStr">
        <is>
          <t>9DC-c</t>
        </is>
      </c>
      <c r="C16" s="8" t="inlineStr">
        <is>
          <t>Yes</t>
        </is>
      </c>
      <c r="D16" s="8" t="inlineStr">
        <is>
          <t>Yes</t>
        </is>
      </c>
      <c r="E16" s="8" t="n">
        <v>5.7</v>
      </c>
    </row>
    <row r="17">
      <c r="A17" s="8" t="inlineStr">
        <is>
          <t>20 mM, 3.0 mA, #2</t>
        </is>
      </c>
      <c r="B17" s="8" t="inlineStr">
        <is>
          <t>10DC-c</t>
        </is>
      </c>
      <c r="C17" s="8" t="inlineStr">
        <is>
          <t>Yes</t>
        </is>
      </c>
      <c r="D17" s="8" t="inlineStr">
        <is>
          <t>Yes</t>
        </is>
      </c>
      <c r="E17" s="8" t="n">
        <v>19.99</v>
      </c>
    </row>
    <row r="18">
      <c r="A18" s="8" t="inlineStr">
        <is>
          <t>20 mM. 3.0 mA, #3</t>
        </is>
      </c>
      <c r="B18" s="8" t="inlineStr">
        <is>
          <t>11DC-c</t>
        </is>
      </c>
      <c r="C18" s="8" t="inlineStr">
        <is>
          <t>Yes</t>
        </is>
      </c>
      <c r="D18" s="8" t="inlineStr">
        <is>
          <t>Yes</t>
        </is>
      </c>
      <c r="E18" s="8" t="n">
        <v>28.3</v>
      </c>
    </row>
    <row r="19">
      <c r="A19" s="8" t="inlineStr">
        <is>
          <t>20 mM, 6.0 mA, #2</t>
        </is>
      </c>
      <c r="B19" s="8" t="inlineStr">
        <is>
          <t>12DC-c</t>
        </is>
      </c>
      <c r="C19" s="8" t="inlineStr">
        <is>
          <t>Yes</t>
        </is>
      </c>
      <c r="D19" s="8" t="inlineStr">
        <is>
          <t>Yes</t>
        </is>
      </c>
      <c r="E19" s="8" t="n">
        <v>21.43</v>
      </c>
    </row>
    <row r="20">
      <c r="A20" t="inlineStr">
        <is>
          <t>50 mM, 1.5 mA, #2</t>
        </is>
      </c>
      <c r="B20" t="inlineStr">
        <is>
          <t>13DC-c</t>
        </is>
      </c>
      <c r="C20" t="inlineStr">
        <is>
          <t>Yes</t>
        </is>
      </c>
      <c r="D20" t="inlineStr">
        <is>
          <t>Yes</t>
        </is>
      </c>
      <c r="E20" t="n">
        <v>62.83</v>
      </c>
    </row>
    <row r="21">
      <c r="A21" t="inlineStr">
        <is>
          <t>50 mM, 6.0 mA, #2</t>
        </is>
      </c>
      <c r="B21" t="inlineStr">
        <is>
          <t>14DC-c</t>
        </is>
      </c>
      <c r="C21" t="inlineStr">
        <is>
          <t>Yes</t>
        </is>
      </c>
      <c r="D21" t="inlineStr">
        <is>
          <t>Yes</t>
        </is>
      </c>
      <c r="E21" t="n">
        <v>50.08</v>
      </c>
    </row>
    <row r="22">
      <c r="A22" s="9" t="inlineStr">
        <is>
          <t>50 mM, 1.5 mA, #3</t>
        </is>
      </c>
      <c r="B22" s="9" t="inlineStr">
        <is>
          <t>15DC-c</t>
        </is>
      </c>
      <c r="C22" s="9" t="inlineStr">
        <is>
          <t>Yes</t>
        </is>
      </c>
      <c r="D22" s="9" t="inlineStr">
        <is>
          <t>Yes</t>
        </is>
      </c>
      <c r="E22" s="9" t="n">
        <v>37.04</v>
      </c>
      <c r="H22" s="9" t="inlineStr">
        <is>
          <t>Removed.</t>
        </is>
      </c>
    </row>
    <row r="23">
      <c r="A23" t="inlineStr">
        <is>
          <t>50 mM, 3.0 mA, #3</t>
        </is>
      </c>
      <c r="B23" t="inlineStr">
        <is>
          <t>16DCA</t>
        </is>
      </c>
      <c r="C23" t="inlineStr">
        <is>
          <t>Yes</t>
        </is>
      </c>
      <c r="D23" t="inlineStr">
        <is>
          <t>Yes</t>
        </is>
      </c>
      <c r="E23" t="n">
        <v>54.98</v>
      </c>
    </row>
    <row r="24">
      <c r="A24" t="inlineStr">
        <is>
          <t>50 mM, 6.0 mA, #3</t>
        </is>
      </c>
      <c r="B24" t="inlineStr">
        <is>
          <t>17DCA</t>
        </is>
      </c>
      <c r="C24" t="inlineStr">
        <is>
          <t>Yes</t>
        </is>
      </c>
      <c r="D24" t="inlineStr">
        <is>
          <t>Yes</t>
        </is>
      </c>
      <c r="E24" t="n">
        <v>48.51</v>
      </c>
    </row>
    <row r="25">
      <c r="A25" t="inlineStr">
        <is>
          <t>50 mM, 1.5 mA, #4</t>
        </is>
      </c>
      <c r="B25" t="inlineStr">
        <is>
          <t>18DCA</t>
        </is>
      </c>
      <c r="C25" t="inlineStr">
        <is>
          <t>Yes</t>
        </is>
      </c>
      <c r="D25" t="inlineStr">
        <is>
          <t>Yes</t>
        </is>
      </c>
      <c r="E25" t="n">
        <v>62.09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selection activeCell="H15" sqref="H15"/>
    </sheetView>
  </sheetViews>
  <sheetFormatPr baseColWidth="10" defaultColWidth="8.83203125" defaultRowHeight="15"/>
  <cols>
    <col width="18.83203125" customWidth="1" min="1" max="1"/>
    <col width="13.5" customWidth="1" min="2" max="2"/>
    <col width="16.1640625" customWidth="1" min="3" max="3"/>
    <col width="18.83203125" customWidth="1" min="4" max="4"/>
    <col width="12.83203125" customWidth="1" min="5" max="5"/>
    <col width="14.1640625" customWidth="1" min="6" max="6"/>
    <col width="12.6640625" customWidth="1" min="7" max="7"/>
    <col width="9.1640625" customWidth="1" style="10" min="8" max="8"/>
  </cols>
  <sheetData>
    <row r="1">
      <c r="A1" s="2" t="inlineStr">
        <is>
          <t>Concentration (mM)</t>
        </is>
      </c>
      <c r="B1" s="2" t="inlineStr">
        <is>
          <t>Current (mA)</t>
        </is>
      </c>
      <c r="C1" s="2" t="inlineStr">
        <is>
          <t>Flow Rate (sccm)</t>
        </is>
      </c>
      <c r="D1" s="2" t="inlineStr">
        <is>
          <t>Number Trial</t>
        </is>
      </c>
      <c r="E1" s="2" t="inlineStr">
        <is>
          <t>Sample ID</t>
        </is>
      </c>
      <c r="F1" s="2" t="inlineStr">
        <is>
          <t>Experiment?</t>
        </is>
      </c>
      <c r="G1" s="2" t="inlineStr">
        <is>
          <t>ISE?</t>
        </is>
      </c>
      <c r="H1" s="11" t="inlineStr">
        <is>
          <t>FE (%)</t>
        </is>
      </c>
    </row>
    <row r="2">
      <c r="A2" s="9" t="n">
        <v>50</v>
      </c>
      <c r="B2" s="9" t="n">
        <v>1.5</v>
      </c>
      <c r="C2" s="9" t="n">
        <v>100</v>
      </c>
      <c r="D2" s="9" t="n">
        <v>1</v>
      </c>
      <c r="E2" s="9" t="inlineStr">
        <is>
          <t>1DCH</t>
        </is>
      </c>
      <c r="F2" s="9" t="inlineStr">
        <is>
          <t>Yes</t>
        </is>
      </c>
      <c r="G2" s="9" t="inlineStr">
        <is>
          <t>yes</t>
        </is>
      </c>
      <c r="H2" s="9" t="n">
        <v>49.01</v>
      </c>
    </row>
    <row r="3">
      <c r="A3" s="9" t="n">
        <v>50</v>
      </c>
      <c r="B3" s="9" t="n">
        <v>1.5</v>
      </c>
      <c r="C3" s="9" t="n">
        <v>100</v>
      </c>
      <c r="D3" s="9" t="n">
        <v>2</v>
      </c>
      <c r="E3" s="9" t="inlineStr">
        <is>
          <t>2DCH</t>
        </is>
      </c>
      <c r="F3" s="9" t="inlineStr">
        <is>
          <t>Yes</t>
        </is>
      </c>
      <c r="G3" s="9" t="inlineStr">
        <is>
          <t>yes</t>
        </is>
      </c>
      <c r="H3" s="9" t="n">
        <v>20.75</v>
      </c>
    </row>
    <row r="4">
      <c r="A4" s="9" t="n">
        <v>50</v>
      </c>
      <c r="B4" s="9" t="n">
        <v>1.5</v>
      </c>
      <c r="C4" s="9" t="n">
        <v>100</v>
      </c>
      <c r="D4" s="9" t="n">
        <v>3</v>
      </c>
      <c r="E4" s="9" t="inlineStr">
        <is>
          <t>3DCH</t>
        </is>
      </c>
      <c r="F4" s="9" t="inlineStr">
        <is>
          <t>yes</t>
        </is>
      </c>
      <c r="G4" s="9" t="inlineStr">
        <is>
          <t>yes</t>
        </is>
      </c>
      <c r="H4" s="9" t="n">
        <v>31.77</v>
      </c>
      <c r="K4" s="9" t="inlineStr">
        <is>
          <t>Reliability TBD. Issues with thermal management (too hot), MFC (too large range), and membrane (blue deposits).</t>
        </is>
      </c>
    </row>
    <row r="5">
      <c r="A5" s="9" t="n">
        <v>50</v>
      </c>
      <c r="B5" s="9" t="n">
        <v>3</v>
      </c>
      <c r="C5" s="9" t="n">
        <v>100</v>
      </c>
      <c r="D5" s="9" t="n">
        <v>1</v>
      </c>
      <c r="E5" s="9" t="inlineStr">
        <is>
          <t>4DCH</t>
        </is>
      </c>
      <c r="F5" s="9" t="inlineStr">
        <is>
          <t>yes</t>
        </is>
      </c>
      <c r="G5" s="9" t="inlineStr">
        <is>
          <t>yes</t>
        </is>
      </c>
      <c r="H5" s="9" t="n">
        <v>44.45</v>
      </c>
      <c r="M5" s="9" t="n"/>
    </row>
    <row r="6">
      <c r="A6" s="9" t="n">
        <v>50</v>
      </c>
      <c r="B6" s="9" t="n">
        <v>3</v>
      </c>
      <c r="C6" s="9" t="n">
        <v>100</v>
      </c>
      <c r="D6" s="9" t="n">
        <v>2</v>
      </c>
      <c r="E6" s="9" t="inlineStr">
        <is>
          <t>5DCH</t>
        </is>
      </c>
      <c r="F6" s="9" t="inlineStr">
        <is>
          <t>Yes</t>
        </is>
      </c>
      <c r="G6" s="9" t="inlineStr">
        <is>
          <t>yes</t>
        </is>
      </c>
      <c r="H6" s="9" t="n">
        <v>47.98</v>
      </c>
    </row>
    <row r="7">
      <c r="A7" s="9" t="n">
        <v>50</v>
      </c>
      <c r="B7" s="9" t="n">
        <v>3</v>
      </c>
      <c r="C7" s="9" t="n">
        <v>100</v>
      </c>
      <c r="D7" s="9" t="n">
        <v>3</v>
      </c>
      <c r="E7" s="9" t="inlineStr">
        <is>
          <t>6DCH</t>
        </is>
      </c>
      <c r="F7" s="9" t="inlineStr">
        <is>
          <t>Yes</t>
        </is>
      </c>
      <c r="G7" s="9" t="inlineStr">
        <is>
          <t>yes</t>
        </is>
      </c>
      <c r="H7" s="9" t="n">
        <v>47.65</v>
      </c>
    </row>
    <row r="8">
      <c r="A8" s="9" t="n">
        <v>50</v>
      </c>
      <c r="B8" s="9" t="n">
        <v>6</v>
      </c>
      <c r="C8" s="9" t="n">
        <v>100</v>
      </c>
      <c r="D8" s="9" t="n">
        <v>1</v>
      </c>
      <c r="E8" s="9" t="inlineStr">
        <is>
          <t>7DCH</t>
        </is>
      </c>
      <c r="F8" s="9" t="inlineStr">
        <is>
          <t>Yes</t>
        </is>
      </c>
      <c r="G8" s="9" t="inlineStr">
        <is>
          <t>yes</t>
        </is>
      </c>
      <c r="H8" s="9" t="n">
        <v>47.33</v>
      </c>
    </row>
    <row r="9">
      <c r="A9" s="9" t="n">
        <v>50</v>
      </c>
      <c r="B9" s="9" t="n">
        <v>6</v>
      </c>
      <c r="C9" s="9" t="n">
        <v>100</v>
      </c>
      <c r="D9" s="9" t="n">
        <v>2</v>
      </c>
      <c r="E9" s="9" t="inlineStr">
        <is>
          <t>8DCH</t>
        </is>
      </c>
      <c r="F9" s="9" t="inlineStr">
        <is>
          <t>Yes</t>
        </is>
      </c>
      <c r="G9" s="9" t="inlineStr">
        <is>
          <t>Yes</t>
        </is>
      </c>
      <c r="H9" s="9" t="n">
        <v>62.53</v>
      </c>
    </row>
    <row r="10">
      <c r="A10" s="9" t="n">
        <v>50</v>
      </c>
      <c r="B10" s="9" t="n">
        <v>6</v>
      </c>
      <c r="C10" s="9" t="n">
        <v>100</v>
      </c>
      <c r="D10" s="9" t="n">
        <v>3</v>
      </c>
      <c r="E10" s="9" t="inlineStr">
        <is>
          <t>9DCH</t>
        </is>
      </c>
      <c r="F10" s="9" t="inlineStr">
        <is>
          <t>Yes</t>
        </is>
      </c>
      <c r="G10" s="9" t="inlineStr">
        <is>
          <t>Yes</t>
        </is>
      </c>
      <c r="H10" s="9" t="n">
        <v>61.77</v>
      </c>
    </row>
    <row r="11">
      <c r="A11" s="10" t="n">
        <v>50</v>
      </c>
      <c r="B11" s="10" t="n">
        <v>1.5</v>
      </c>
      <c r="C11" s="10" t="n">
        <v>200</v>
      </c>
      <c r="D11" s="10" t="n">
        <v>1</v>
      </c>
      <c r="E11" s="10" t="inlineStr">
        <is>
          <t>10DCH</t>
        </is>
      </c>
      <c r="F11" s="10" t="inlineStr">
        <is>
          <t>Yes</t>
        </is>
      </c>
      <c r="G11" s="10" t="inlineStr">
        <is>
          <t>Yes</t>
        </is>
      </c>
      <c r="H11" s="10" t="n">
        <v>24.42</v>
      </c>
      <c r="I11" s="10" t="n"/>
      <c r="J11" s="10" t="n"/>
      <c r="K11" s="10" t="n"/>
      <c r="L11" s="10" t="n"/>
      <c r="M11" s="10" t="n"/>
      <c r="N11" s="10" t="n"/>
      <c r="O11" s="10" t="n"/>
      <c r="P11" s="10" t="n"/>
      <c r="Q11" s="10" t="n"/>
    </row>
    <row r="12">
      <c r="A12" s="10" t="n">
        <v>50</v>
      </c>
      <c r="B12" s="10" t="n">
        <v>3</v>
      </c>
      <c r="C12" s="10" t="n">
        <v>200</v>
      </c>
      <c r="D12" s="10" t="n">
        <v>1</v>
      </c>
      <c r="E12" s="10" t="inlineStr">
        <is>
          <t>11DCH</t>
        </is>
      </c>
      <c r="F12" s="10" t="inlineStr">
        <is>
          <t>Yes</t>
        </is>
      </c>
      <c r="G12" s="10" t="inlineStr">
        <is>
          <t>Yes</t>
        </is>
      </c>
      <c r="H12" s="10" t="n">
        <v>42.43</v>
      </c>
      <c r="I12" s="10" t="n"/>
      <c r="J12" s="10" t="n"/>
      <c r="K12" s="10" t="n"/>
      <c r="L12" s="10" t="n"/>
      <c r="M12" s="10" t="n"/>
      <c r="N12" s="10" t="n"/>
      <c r="O12" s="10" t="n"/>
      <c r="P12" s="10" t="n"/>
      <c r="Q12" s="10" t="n"/>
    </row>
    <row r="13">
      <c r="A13" s="10" t="n">
        <v>50</v>
      </c>
      <c r="B13" s="10" t="n">
        <v>6</v>
      </c>
      <c r="C13" s="10" t="n">
        <v>200</v>
      </c>
      <c r="D13" s="10" t="n">
        <v>1</v>
      </c>
      <c r="E13" s="10" t="inlineStr">
        <is>
          <t>12DCH</t>
        </is>
      </c>
      <c r="F13" s="10" t="inlineStr">
        <is>
          <t>Yes</t>
        </is>
      </c>
      <c r="G13" s="10" t="inlineStr">
        <is>
          <t>Yes</t>
        </is>
      </c>
      <c r="H13" s="10" t="n">
        <v>66.87</v>
      </c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</row>
    <row r="14">
      <c r="A14" s="10" t="n">
        <v>50</v>
      </c>
      <c r="B14" s="10" t="n">
        <v>6</v>
      </c>
      <c r="C14" s="10" t="n">
        <v>200</v>
      </c>
      <c r="D14" s="10" t="n">
        <v>2</v>
      </c>
      <c r="E14" s="10" t="inlineStr">
        <is>
          <t>13DCH</t>
        </is>
      </c>
      <c r="F14" s="10" t="inlineStr">
        <is>
          <t>Yes</t>
        </is>
      </c>
      <c r="G14" s="10" t="inlineStr">
        <is>
          <t>Yes</t>
        </is>
      </c>
      <c r="H14" s="10" t="n">
        <v>62.09</v>
      </c>
      <c r="I14" s="10" t="n"/>
    </row>
    <row r="15">
      <c r="A15" s="10" t="n"/>
      <c r="B15" s="10" t="n"/>
      <c r="C15" s="10" t="n"/>
      <c r="D15" s="10" t="n"/>
      <c r="E15" s="10" t="n"/>
      <c r="F15" s="10" t="n"/>
      <c r="G15" s="10" t="n"/>
      <c r="I15" s="10" t="n"/>
    </row>
    <row r="16">
      <c r="A16" s="10" t="n"/>
      <c r="B16" s="10" t="n"/>
      <c r="C16" s="10" t="n"/>
      <c r="D16" s="10" t="n"/>
      <c r="E16" s="10" t="n"/>
      <c r="F16" s="10" t="n"/>
      <c r="G16" s="10" t="n"/>
      <c r="I16" s="10" t="n"/>
    </row>
    <row r="17">
      <c r="A17" s="10" t="n"/>
      <c r="B17" s="10" t="n"/>
      <c r="C17" s="10" t="n"/>
      <c r="D17" s="10" t="n"/>
      <c r="E17" s="10" t="n"/>
      <c r="F17" s="10" t="n"/>
      <c r="G17" s="10" t="n"/>
      <c r="I17" s="10" t="n"/>
    </row>
    <row r="18">
      <c r="A18" s="10" t="n"/>
      <c r="B18" s="10" t="n"/>
      <c r="C18" s="10" t="n"/>
      <c r="D18" s="10" t="n"/>
      <c r="E18" s="10" t="n"/>
      <c r="F18" s="10" t="n"/>
      <c r="G18" s="10" t="n"/>
      <c r="I18" s="10" t="n"/>
    </row>
    <row r="19">
      <c r="A19" s="10" t="n"/>
      <c r="B19" s="10" t="n"/>
      <c r="C19" s="10" t="n"/>
      <c r="D19" s="10" t="n"/>
      <c r="E19" s="10" t="n"/>
      <c r="F19" s="10" t="n"/>
      <c r="G19" s="10" t="n"/>
      <c r="I19" s="10" t="n"/>
    </row>
    <row r="20">
      <c r="A20" s="10" t="n"/>
      <c r="B20" s="10" t="n"/>
      <c r="C20" s="10" t="n"/>
      <c r="D20" s="10" t="n"/>
      <c r="E20" s="10" t="n"/>
      <c r="F20" s="10" t="n"/>
      <c r="G20" s="10" t="n"/>
      <c r="I20" s="10" t="n"/>
    </row>
    <row r="21">
      <c r="A21" s="10" t="n"/>
      <c r="B21" s="10" t="n"/>
      <c r="C21" s="10" t="n"/>
      <c r="D21" s="10" t="n"/>
      <c r="E21" s="10" t="n"/>
      <c r="F21" s="10" t="n"/>
      <c r="G21" s="10" t="n"/>
      <c r="I21" s="10" t="n"/>
    </row>
    <row r="22">
      <c r="A22" s="10" t="n"/>
      <c r="B22" s="10" t="n"/>
      <c r="C22" s="10" t="n"/>
      <c r="D22" s="10" t="n"/>
      <c r="E22" s="10" t="n"/>
      <c r="F22" s="10" t="n"/>
      <c r="G22" s="10" t="n"/>
      <c r="I22" s="10" t="n"/>
      <c r="J22" s="10" t="n"/>
      <c r="K22" s="10" t="n"/>
      <c r="L22" s="10" t="n"/>
      <c r="M22" s="10" t="n"/>
      <c r="N22" s="10" t="n"/>
      <c r="O22" s="10" t="n"/>
      <c r="P22" s="10" t="n"/>
      <c r="Q22" s="10" t="n"/>
    </row>
    <row r="23">
      <c r="A23" s="10" t="n"/>
      <c r="B23" s="10" t="n"/>
      <c r="C23" s="10" t="n"/>
      <c r="D23" s="10" t="n"/>
      <c r="E23" s="10" t="n"/>
      <c r="F23" s="10" t="n"/>
      <c r="G23" s="10" t="n"/>
      <c r="I23" s="10" t="n"/>
      <c r="J23" s="10" t="n"/>
      <c r="K23" s="10" t="n"/>
      <c r="L23" s="10" t="n"/>
      <c r="M23" s="10" t="n"/>
      <c r="N23" s="10" t="n"/>
      <c r="O23" s="10" t="n"/>
      <c r="P23" s="10" t="n"/>
      <c r="Q23" s="10" t="n"/>
    </row>
    <row r="24">
      <c r="A24" s="10" t="n"/>
      <c r="B24" s="10" t="n"/>
      <c r="C24" s="10" t="n"/>
      <c r="D24" s="10" t="n"/>
      <c r="E24" s="10" t="n"/>
      <c r="F24" s="10" t="n"/>
      <c r="G24" s="10" t="n"/>
      <c r="I24" s="10" t="n"/>
      <c r="J24" s="10" t="n"/>
      <c r="K24" s="10" t="n"/>
      <c r="L24" s="10" t="n"/>
      <c r="M24" s="10" t="n"/>
      <c r="N24" s="10" t="n"/>
      <c r="O24" s="10" t="n"/>
      <c r="P24" s="10" t="n"/>
      <c r="Q24" s="10" t="n"/>
    </row>
    <row r="25">
      <c r="A25" s="10" t="n"/>
      <c r="B25" s="10" t="n"/>
      <c r="C25" s="10" t="n"/>
      <c r="D25" s="10" t="n"/>
      <c r="E25" s="10" t="n"/>
      <c r="F25" s="10" t="n"/>
      <c r="G25" s="10" t="n"/>
      <c r="I25" s="10" t="n"/>
      <c r="J25" s="10" t="n"/>
      <c r="K25" s="10" t="n"/>
      <c r="L25" s="10" t="n"/>
      <c r="M25" s="10" t="n"/>
      <c r="N25" s="10" t="n"/>
      <c r="O25" s="10" t="n"/>
      <c r="P25" s="10" t="n"/>
      <c r="Q25" s="10" t="n"/>
    </row>
    <row r="26">
      <c r="A26" s="10" t="n"/>
      <c r="B26" s="10" t="n"/>
      <c r="C26" s="10" t="n"/>
      <c r="D26" s="10" t="n"/>
      <c r="E26" s="10" t="n"/>
      <c r="F26" s="10" t="n"/>
      <c r="G26" s="10" t="n"/>
      <c r="I26" s="10" t="n"/>
      <c r="J26" s="10" t="n"/>
      <c r="K26" s="10" t="n"/>
      <c r="L26" s="10" t="n"/>
      <c r="M26" s="10" t="n"/>
      <c r="N26" s="10" t="n"/>
      <c r="O26" s="10" t="n"/>
      <c r="P26" s="10" t="n"/>
      <c r="Q26" s="10" t="n"/>
    </row>
    <row r="27">
      <c r="A27" s="10" t="n"/>
      <c r="B27" s="10" t="n"/>
      <c r="C27" s="10" t="n"/>
      <c r="D27" s="10" t="n"/>
      <c r="E27" s="10" t="n"/>
      <c r="F27" s="10" t="n"/>
      <c r="G27" s="10" t="n"/>
      <c r="I27" s="10" t="n"/>
      <c r="J27" s="10" t="n"/>
      <c r="K27" s="10" t="n"/>
      <c r="L27" s="10" t="n"/>
      <c r="M27" s="10" t="n"/>
      <c r="N27" s="10" t="n"/>
      <c r="O27" s="10" t="n"/>
      <c r="P27" s="10" t="n"/>
      <c r="Q27" s="10" t="n"/>
    </row>
    <row r="28">
      <c r="A28" s="10" t="n"/>
      <c r="B28" s="10" t="n"/>
      <c r="C28" s="10" t="n"/>
      <c r="D28" s="10" t="n"/>
      <c r="E28" s="10" t="n"/>
      <c r="F28" s="10" t="n"/>
      <c r="G28" s="10" t="n"/>
      <c r="I28" s="10" t="n"/>
      <c r="J28" s="10" t="n"/>
      <c r="K28" s="10" t="n"/>
      <c r="L28" s="10" t="n"/>
      <c r="M28" s="10" t="n"/>
      <c r="N28" s="10" t="n"/>
      <c r="O28" s="10" t="n"/>
      <c r="P28" s="10" t="n"/>
      <c r="Q28" s="10" t="n"/>
    </row>
    <row r="29">
      <c r="A29" s="10" t="n"/>
      <c r="B29" s="10" t="n"/>
      <c r="C29" s="10" t="n"/>
      <c r="D29" s="10" t="n"/>
      <c r="E29" s="10" t="n"/>
      <c r="F29" s="10" t="n"/>
      <c r="G29" s="10" t="n"/>
      <c r="I29" s="10" t="n"/>
      <c r="J29" s="10" t="n"/>
      <c r="K29" s="10" t="n"/>
      <c r="L29" s="10" t="n"/>
      <c r="M29" s="10" t="n"/>
      <c r="N29" s="10" t="n"/>
      <c r="O29" s="10" t="n"/>
      <c r="P29" s="10" t="n"/>
      <c r="Q29" s="10" t="n"/>
    </row>
    <row r="30">
      <c r="A30" s="10" t="n"/>
      <c r="B30" s="10" t="n"/>
      <c r="C30" s="10" t="n"/>
      <c r="D30" s="10" t="n"/>
      <c r="E30" s="10" t="n"/>
      <c r="F30" s="10" t="n"/>
      <c r="G30" s="10" t="n"/>
      <c r="I30" s="10" t="n"/>
      <c r="J30" s="10" t="n"/>
      <c r="K30" s="10" t="n"/>
      <c r="L30" s="10" t="n"/>
      <c r="M30" s="10" t="n"/>
      <c r="N30" s="10" t="n"/>
      <c r="O30" s="10" t="n"/>
      <c r="P30" s="10" t="n"/>
      <c r="Q30" s="10" t="n"/>
    </row>
    <row r="31">
      <c r="A31" s="10" t="n"/>
      <c r="B31" s="10" t="n"/>
      <c r="C31" s="10" t="n"/>
      <c r="D31" s="10" t="n"/>
      <c r="E31" s="10" t="n"/>
      <c r="F31" s="10" t="n"/>
      <c r="G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</row>
    <row r="32">
      <c r="A32" s="10" t="n"/>
      <c r="B32" s="10" t="n"/>
      <c r="C32" s="10" t="n"/>
      <c r="D32" s="10" t="n"/>
      <c r="E32" s="10" t="n"/>
      <c r="F32" s="10" t="n"/>
      <c r="G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</row>
    <row r="33">
      <c r="A33" s="10" t="n"/>
      <c r="B33" s="10" t="n"/>
      <c r="C33" s="10" t="n"/>
      <c r="D33" s="10" t="n"/>
      <c r="E33" s="10" t="n"/>
      <c r="F33" s="10" t="n"/>
      <c r="G33" s="10" t="n"/>
      <c r="I33" s="10" t="n"/>
      <c r="J33" s="10" t="n"/>
      <c r="K33" s="10" t="n"/>
      <c r="L33" s="10" t="n"/>
      <c r="M33" s="10" t="n"/>
      <c r="N33" s="10" t="n"/>
      <c r="O33" s="10" t="n"/>
      <c r="P33" s="10" t="n"/>
      <c r="Q33" s="10" t="n"/>
    </row>
    <row r="34">
      <c r="A34" s="10" t="n"/>
      <c r="B34" s="10" t="n"/>
      <c r="C34" s="10" t="n"/>
      <c r="D34" s="10" t="n"/>
      <c r="E34" s="10" t="n"/>
      <c r="F34" s="10" t="n"/>
      <c r="G34" s="10" t="n"/>
      <c r="I34" s="10" t="n"/>
      <c r="J34" s="10" t="n"/>
      <c r="K34" s="10" t="n"/>
      <c r="L34" s="10" t="n"/>
      <c r="M34" s="10" t="n"/>
      <c r="N34" s="10" t="n"/>
      <c r="O34" s="10" t="n"/>
      <c r="P34" s="10" t="n"/>
      <c r="Q34" s="10" t="n"/>
    </row>
    <row r="35">
      <c r="A35" s="10" t="n"/>
      <c r="B35" s="10" t="n"/>
      <c r="C35" s="10" t="n"/>
      <c r="D35" s="10" t="n"/>
      <c r="E35" s="10" t="n"/>
      <c r="F35" s="10" t="n"/>
      <c r="G35" s="10" t="n"/>
      <c r="I35" s="10" t="n"/>
      <c r="J35" s="10" t="n"/>
      <c r="K35" s="10" t="n"/>
      <c r="L35" s="10" t="n"/>
      <c r="M35" s="10" t="n"/>
      <c r="N35" s="10" t="n"/>
      <c r="O35" s="10" t="n"/>
      <c r="P35" s="10" t="n"/>
      <c r="Q35" s="10" t="n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21"/>
  <sheetViews>
    <sheetView topLeftCell="L1" workbookViewId="0">
      <selection activeCell="P29" sqref="P29"/>
    </sheetView>
  </sheetViews>
  <sheetFormatPr baseColWidth="10" defaultColWidth="8.83203125" defaultRowHeight="15"/>
  <cols>
    <col width="13.83203125" customWidth="1" min="1" max="1"/>
    <col width="10.1640625" customWidth="1" min="2" max="2"/>
    <col width="13.83203125" customWidth="1" min="3" max="3"/>
    <col width="5" customWidth="1" min="4" max="4"/>
    <col width="24.83203125" customWidth="1" min="5" max="5"/>
    <col width="16.5" customWidth="1" min="6" max="6"/>
    <col width="14.33203125" customWidth="1" min="7" max="8"/>
    <col width="21.33203125" customWidth="1" min="9" max="9"/>
    <col width="19.5" customWidth="1" min="10" max="10"/>
    <col width="16.5" customWidth="1" min="11" max="11"/>
    <col width="36.83203125" customWidth="1" min="12" max="12"/>
    <col width="24" customWidth="1" min="13" max="13"/>
    <col width="30.1640625" customWidth="1" min="14" max="14"/>
    <col width="18.6640625" customWidth="1" min="15" max="15"/>
    <col width="17.5" customWidth="1" min="16" max="16"/>
    <col width="16.33203125" customWidth="1" min="17" max="17"/>
    <col width="40.33203125" customWidth="1" min="18" max="18"/>
    <col width="24.83203125" customWidth="1" min="19" max="19"/>
    <col width="12" customWidth="1" min="20" max="20"/>
    <col width="16.5" customWidth="1" min="21" max="21"/>
  </cols>
  <sheetData>
    <row r="1">
      <c r="A1" s="2" t="inlineStr">
        <is>
          <t>Sample Name</t>
        </is>
      </c>
      <c r="B1" s="2" t="inlineStr">
        <is>
          <t>Volume</t>
        </is>
      </c>
      <c r="C1" s="2" t="inlineStr">
        <is>
          <t>Split Type</t>
        </is>
      </c>
      <c r="D1" s="2" t="inlineStr">
        <is>
          <t>Gas</t>
        </is>
      </c>
      <c r="E1" s="2" t="inlineStr">
        <is>
          <t>Initial Concentration (mM)</t>
        </is>
      </c>
      <c r="F1" s="2" t="inlineStr">
        <is>
          <t>DC Current (mA)</t>
        </is>
      </c>
      <c r="G1" s="2" t="inlineStr">
        <is>
          <t>Frequency (%)</t>
        </is>
      </c>
      <c r="H1" s="2" t="inlineStr">
        <is>
          <t>Duty Cycle (%)</t>
        </is>
      </c>
      <c r="I1" s="2" t="inlineStr">
        <is>
          <t>Average Current (mA)</t>
        </is>
      </c>
      <c r="J1" s="2" t="inlineStr">
        <is>
          <t>Peak Current (mA)</t>
        </is>
      </c>
      <c r="K1" s="2" t="inlineStr">
        <is>
          <t>Measured FE (%)</t>
        </is>
      </c>
      <c r="L1" s="2" t="inlineStr">
        <is>
          <t>Sub Rate Const (m^3/mol-s)</t>
        </is>
      </c>
      <c r="M1" s="2" t="inlineStr">
        <is>
          <t>1st-Order Recomb Const (1/s)</t>
        </is>
      </c>
      <c r="N1" s="2" t="inlineStr">
        <is>
          <t>2nd-Order Recomb Const (m^3/mol-s)</t>
        </is>
      </c>
      <c r="O1" s="2" t="inlineStr">
        <is>
          <t>Sub Diffusivity (m^2/s)</t>
        </is>
      </c>
      <c r="P1" s="2" t="inlineStr">
        <is>
          <t>e- Diffusivity (m^2/s)</t>
        </is>
      </c>
      <c r="Q1" s="2" t="inlineStr">
        <is>
          <t>PLI Area (mm^2)</t>
        </is>
      </c>
      <c r="R1" s="2" t="inlineStr">
        <is>
          <t>Effective Recomb Const (1/s)</t>
        </is>
      </c>
      <c r="S1" s="2" t="inlineStr">
        <is>
          <t>Kinetically-Limited FE (%)</t>
        </is>
      </c>
      <c r="T1" s="2" t="inlineStr">
        <is>
          <t>On Time (s)</t>
        </is>
      </c>
      <c r="U1" s="2" t="inlineStr">
        <is>
          <t>Depletion Time (s)</t>
        </is>
      </c>
      <c r="V1" s="2" t="inlineStr">
        <is>
          <t>t^*/t_on</t>
        </is>
      </c>
    </row>
    <row r="2">
      <c r="A2" t="inlineStr">
        <is>
          <t>1s-c</t>
        </is>
      </c>
      <c r="B2" t="n">
        <v>20</v>
      </c>
      <c r="C2" t="inlineStr">
        <is>
          <t>Frit</t>
        </is>
      </c>
      <c r="D2" t="inlineStr">
        <is>
          <t>Ar</t>
        </is>
      </c>
      <c r="E2" t="n">
        <v>150</v>
      </c>
      <c r="F2" t="n">
        <v>6</v>
      </c>
      <c r="G2" s="1" t="n">
        <v>9000</v>
      </c>
      <c r="H2" t="n">
        <v>5</v>
      </c>
      <c r="I2" t="n">
        <v>0.8278</v>
      </c>
      <c r="J2" t="n">
        <v>18.3581</v>
      </c>
      <c r="K2" s="6" t="n">
        <v>114.3</v>
      </c>
      <c r="L2" s="1" t="n">
        <v>1500000</v>
      </c>
      <c r="M2" s="1" t="n">
        <v>1000</v>
      </c>
      <c r="N2" s="1" t="n">
        <v>5500000</v>
      </c>
      <c r="O2" s="1" t="n">
        <v>1.1e-09</v>
      </c>
      <c r="P2" s="1" t="n">
        <v>4.9e-09</v>
      </c>
      <c r="Q2" s="3" t="n">
        <v>0.49</v>
      </c>
      <c r="R2" s="3">
        <f>M2+(N2*N2*J2*J2*0.000001/(Q2*Q2*0.000001*0.000001*96485*96485*P2))^(1/3)</f>
        <v/>
      </c>
      <c r="S2" s="4">
        <f>100*((R2/(L2*E2) + 1)^-1)</f>
        <v/>
      </c>
      <c r="T2" s="1">
        <f>0.01*H2/G2</f>
        <v/>
      </c>
      <c r="U2" s="3">
        <f>(3.14*96485*96485*Q2*Q2*0.000001*0.000001*O2/(4*J2*J2*0.000001))*((E2 - R2/L2)^2)</f>
        <v/>
      </c>
      <c r="V2" s="3">
        <f>U2/T2</f>
        <v/>
      </c>
    </row>
    <row r="3">
      <c r="A3" t="inlineStr">
        <is>
          <t>1s-a</t>
        </is>
      </c>
      <c r="B3" t="n">
        <v>20</v>
      </c>
      <c r="C3" t="inlineStr">
        <is>
          <t>Frit</t>
        </is>
      </c>
      <c r="D3" t="inlineStr">
        <is>
          <t>Ar</t>
        </is>
      </c>
      <c r="E3" t="n">
        <v>150</v>
      </c>
      <c r="F3" t="n">
        <v>6</v>
      </c>
      <c r="G3" s="1" t="n">
        <v>9000</v>
      </c>
      <c r="H3" t="n">
        <v>5</v>
      </c>
      <c r="I3" t="n">
        <v>0.8278</v>
      </c>
      <c r="J3" t="n">
        <v>18.3581</v>
      </c>
      <c r="K3" s="6" t="n">
        <v>-1.1</v>
      </c>
      <c r="L3" s="1" t="n">
        <v>1500000</v>
      </c>
      <c r="M3" s="1" t="n">
        <v>1000</v>
      </c>
      <c r="N3" s="1" t="n">
        <v>5500000</v>
      </c>
      <c r="O3" s="1" t="n">
        <v>1.1e-09</v>
      </c>
      <c r="P3" s="1" t="n">
        <v>4.9e-09</v>
      </c>
      <c r="Q3" s="3" t="n">
        <v>0.49</v>
      </c>
      <c r="R3" s="3">
        <f>M3+(N3*N3*J3*J3*0.000001/(Q3*Q3*0.000001*0.000001*96485*96485*P3))^(1/3)</f>
        <v/>
      </c>
      <c r="S3" s="4">
        <f>100*((R3/(L3*E3) + 1)^-1)</f>
        <v/>
      </c>
      <c r="T3" s="1">
        <f>0.01*H3/G3</f>
        <v/>
      </c>
      <c r="U3" s="3">
        <f>(3.14*96485*96485*Q3*Q3*0.000001*0.000001*O3/(4*J3*J3*0.000001))*((E3 - R3/L3)^2)</f>
        <v/>
      </c>
      <c r="V3" s="3">
        <f>U3/T3</f>
        <v/>
      </c>
    </row>
    <row r="4">
      <c r="A4" t="inlineStr">
        <is>
          <t>2s-c</t>
        </is>
      </c>
      <c r="B4" t="n">
        <v>20</v>
      </c>
      <c r="C4" t="inlineStr">
        <is>
          <t>Frit</t>
        </is>
      </c>
      <c r="D4" t="inlineStr">
        <is>
          <t>He</t>
        </is>
      </c>
      <c r="E4" t="n">
        <v>150</v>
      </c>
      <c r="F4" t="n">
        <v>3.5</v>
      </c>
      <c r="G4" s="1" t="n">
        <v>9000</v>
      </c>
      <c r="H4" t="n">
        <v>5</v>
      </c>
      <c r="I4" t="n">
        <v>0.5790999999999999</v>
      </c>
      <c r="J4" t="n">
        <v>10.6959</v>
      </c>
      <c r="K4" s="6" t="n">
        <v>81.8</v>
      </c>
      <c r="L4" s="1" t="n">
        <v>1500000</v>
      </c>
      <c r="M4" s="1" t="n">
        <v>1000</v>
      </c>
      <c r="N4" s="1" t="n">
        <v>5500000</v>
      </c>
      <c r="O4" s="1" t="n">
        <v>1.1e-09</v>
      </c>
      <c r="P4" s="1" t="n">
        <v>4.9e-09</v>
      </c>
      <c r="Q4" s="3" t="n">
        <v>0.49</v>
      </c>
      <c r="R4" s="3">
        <f>M4+(N4*N4*J4*J4*0.000001/(Q4*Q4*0.000001*0.000001*96485*96485*P4))^(1/3)</f>
        <v/>
      </c>
      <c r="S4" s="4">
        <f>100*((R4/(L4*E4) + 1)^-1)</f>
        <v/>
      </c>
      <c r="T4" s="1">
        <f>0.01*H4/G4</f>
        <v/>
      </c>
      <c r="U4" s="3">
        <f>(3.14*96485*96485*Q4*Q4*0.000001*0.000001*O4/(4*J4*J4*0.000001))*((E4 - R4/L4)^2)</f>
        <v/>
      </c>
      <c r="V4" s="3">
        <f>U4/T4</f>
        <v/>
      </c>
    </row>
    <row r="5">
      <c r="A5" t="inlineStr">
        <is>
          <t>2s-a</t>
        </is>
      </c>
      <c r="B5" t="n">
        <v>20</v>
      </c>
      <c r="C5" t="inlineStr">
        <is>
          <t>Frit</t>
        </is>
      </c>
      <c r="D5" t="inlineStr">
        <is>
          <t>He</t>
        </is>
      </c>
      <c r="E5" t="n">
        <v>150</v>
      </c>
      <c r="F5" t="n">
        <v>3.5</v>
      </c>
      <c r="G5" s="1" t="n">
        <v>9000</v>
      </c>
      <c r="H5" t="n">
        <v>5</v>
      </c>
      <c r="I5" t="n">
        <v>0.5790999999999999</v>
      </c>
      <c r="J5" t="n">
        <v>10.6959</v>
      </c>
      <c r="K5" s="6" t="n">
        <v>-9.300000000000001</v>
      </c>
      <c r="L5" s="1" t="n">
        <v>1500000</v>
      </c>
      <c r="M5" s="1" t="n">
        <v>1000</v>
      </c>
      <c r="N5" s="1" t="n">
        <v>5500000</v>
      </c>
      <c r="O5" s="1" t="n">
        <v>1.1e-09</v>
      </c>
      <c r="P5" s="1" t="n">
        <v>4.9e-09</v>
      </c>
      <c r="Q5" s="3" t="n">
        <v>0.49</v>
      </c>
      <c r="R5" s="3">
        <f>M5+(N5*N5*J5*J5*0.000001/(Q5*Q5*0.000001*0.000001*96485*96485*P5))^(1/3)</f>
        <v/>
      </c>
      <c r="S5" s="4">
        <f>100*((R5/(L5*E5) + 1)^-1)</f>
        <v/>
      </c>
      <c r="T5" s="1">
        <f>0.01*H5/G5</f>
        <v/>
      </c>
      <c r="U5" s="3">
        <f>(3.14*96485*96485*Q5*Q5*0.000001*0.000001*O5/(4*J5*J5*0.000001))*((E5 - R5/L5)^2)</f>
        <v/>
      </c>
      <c r="V5" s="3">
        <f>U5/T5</f>
        <v/>
      </c>
    </row>
    <row r="6">
      <c r="A6" t="inlineStr">
        <is>
          <t>3s-c</t>
        </is>
      </c>
      <c r="B6" t="n">
        <v>20</v>
      </c>
      <c r="C6" t="inlineStr">
        <is>
          <t>Frit</t>
        </is>
      </c>
      <c r="D6" t="inlineStr">
        <is>
          <t>Ar</t>
        </is>
      </c>
      <c r="E6" t="n">
        <v>50</v>
      </c>
      <c r="F6" t="n">
        <v>4.5</v>
      </c>
      <c r="G6" s="1" t="n">
        <v>9000</v>
      </c>
      <c r="H6" t="n">
        <v>5</v>
      </c>
      <c r="I6" t="n">
        <v>0.7188</v>
      </c>
      <c r="J6" t="n">
        <v>13.1989</v>
      </c>
      <c r="K6" s="6" t="n">
        <v>69.14</v>
      </c>
      <c r="L6" s="1" t="n">
        <v>1500000</v>
      </c>
      <c r="M6" s="1" t="n">
        <v>1000</v>
      </c>
      <c r="N6" s="1" t="n">
        <v>5500000</v>
      </c>
      <c r="O6" s="1" t="n">
        <v>1.1e-09</v>
      </c>
      <c r="P6" s="1" t="n">
        <v>4.9e-09</v>
      </c>
      <c r="Q6" s="3" t="n">
        <v>0.49</v>
      </c>
      <c r="R6" s="3">
        <f>M6+(N6*N6*J6*J6*0.000001/(Q6*Q6*0.000001*0.000001*96485*96485*P6))^(1/3)</f>
        <v/>
      </c>
      <c r="S6" s="4">
        <f>100*((R6/(L6*E6) + 1)^-1)</f>
        <v/>
      </c>
      <c r="T6" s="1">
        <f>0.01*H6/G6</f>
        <v/>
      </c>
      <c r="U6" s="3">
        <f>(3.14*96485*96485*Q6*Q6*0.000001*0.000001*O6/(4*J6*J6*0.000001))*((E6 - R6/L6)^2)</f>
        <v/>
      </c>
      <c r="V6" s="3">
        <f>U6/T6</f>
        <v/>
      </c>
    </row>
    <row r="7">
      <c r="A7" t="inlineStr">
        <is>
          <t>3s-a</t>
        </is>
      </c>
      <c r="B7" t="n">
        <v>20</v>
      </c>
      <c r="C7" t="inlineStr">
        <is>
          <t>Frit</t>
        </is>
      </c>
      <c r="D7" t="inlineStr">
        <is>
          <t>Ar</t>
        </is>
      </c>
      <c r="E7" t="n">
        <v>50</v>
      </c>
      <c r="F7" t="n">
        <v>4.5</v>
      </c>
      <c r="G7" s="1" t="n">
        <v>9000</v>
      </c>
      <c r="H7" t="n">
        <v>5</v>
      </c>
      <c r="I7" t="n">
        <v>0.7188</v>
      </c>
      <c r="J7" t="n">
        <v>13.1989</v>
      </c>
      <c r="K7" s="6" t="n">
        <v>-4.92</v>
      </c>
      <c r="L7" s="1" t="n">
        <v>1500000</v>
      </c>
      <c r="M7" s="1" t="n">
        <v>1000</v>
      </c>
      <c r="N7" s="1" t="n">
        <v>5500000</v>
      </c>
      <c r="O7" s="1" t="n">
        <v>1.1e-09</v>
      </c>
      <c r="P7" s="1" t="n">
        <v>4.9e-09</v>
      </c>
      <c r="Q7" s="3" t="n">
        <v>0.49</v>
      </c>
      <c r="R7" s="3">
        <f>M7+(N7*N7*J7*J7*0.000001/(Q7*Q7*0.000001*0.000001*96485*96485*P7))^(1/3)</f>
        <v/>
      </c>
      <c r="S7" s="4">
        <f>100*((R7/(L7*E7) + 1)^-1)</f>
        <v/>
      </c>
      <c r="T7" s="1">
        <f>0.01*H7/G7</f>
        <v/>
      </c>
      <c r="U7" s="3">
        <f>(3.14*96485*96485*Q7*Q7*0.000001*0.000001*O7/(4*J7*J7*0.000001))*((E7 - R7/L7)^2)</f>
        <v/>
      </c>
      <c r="V7" s="3">
        <f>U7/T7</f>
        <v/>
      </c>
    </row>
    <row r="8">
      <c r="A8" t="inlineStr">
        <is>
          <t>4s-c</t>
        </is>
      </c>
      <c r="B8" t="n">
        <v>20</v>
      </c>
      <c r="C8" t="inlineStr">
        <is>
          <t>Frit</t>
        </is>
      </c>
      <c r="D8" t="inlineStr">
        <is>
          <t>He</t>
        </is>
      </c>
      <c r="E8" t="n">
        <v>50</v>
      </c>
      <c r="F8" t="n">
        <v>3</v>
      </c>
      <c r="G8" s="1" t="n">
        <v>9000</v>
      </c>
      <c r="H8" t="n">
        <v>5</v>
      </c>
      <c r="I8" s="5" t="n">
        <v>0.478</v>
      </c>
      <c r="J8" t="n">
        <v>8.9184</v>
      </c>
      <c r="K8" s="6" t="n">
        <v>83.22</v>
      </c>
      <c r="L8" s="1" t="n">
        <v>1500000</v>
      </c>
      <c r="M8" s="1" t="n">
        <v>1000</v>
      </c>
      <c r="N8" s="1" t="n">
        <v>5500000</v>
      </c>
      <c r="O8" s="1" t="n">
        <v>1.1e-09</v>
      </c>
      <c r="P8" s="1" t="n">
        <v>4.9e-09</v>
      </c>
      <c r="Q8" s="3" t="n">
        <v>0.49</v>
      </c>
      <c r="R8" s="3">
        <f>M8+(N8*N8*J8*J8*0.000001/(Q8*Q8*0.000001*0.000001*96485*96485*P8))^(1/3)</f>
        <v/>
      </c>
      <c r="S8" s="4">
        <f>100*((R8/(L8*E8) + 1)^-1)</f>
        <v/>
      </c>
      <c r="T8" s="1">
        <f>0.01*H8/G8</f>
        <v/>
      </c>
      <c r="U8" s="3">
        <f>(3.14*96485*96485*Q8*Q8*0.000001*0.000001*O8/(4*J8*J8*0.000001))*((E8 - R8/L8)^2)</f>
        <v/>
      </c>
      <c r="V8" s="3">
        <f>U8/T8</f>
        <v/>
      </c>
    </row>
    <row r="9">
      <c r="A9" t="inlineStr">
        <is>
          <t>4s-a</t>
        </is>
      </c>
      <c r="B9" t="n">
        <v>20</v>
      </c>
      <c r="C9" t="inlineStr">
        <is>
          <t>Frit</t>
        </is>
      </c>
      <c r="D9" t="inlineStr">
        <is>
          <t>He</t>
        </is>
      </c>
      <c r="E9" t="n">
        <v>50</v>
      </c>
      <c r="F9" t="n">
        <v>3</v>
      </c>
      <c r="G9" s="1" t="n">
        <v>9000</v>
      </c>
      <c r="H9" t="n">
        <v>5</v>
      </c>
      <c r="I9" s="5" t="n">
        <v>0.478</v>
      </c>
      <c r="J9" t="n">
        <v>8.9184</v>
      </c>
      <c r="K9" s="6" t="n">
        <v>-7.4</v>
      </c>
      <c r="L9" s="1" t="n">
        <v>1500000</v>
      </c>
      <c r="M9" s="1" t="n">
        <v>1000</v>
      </c>
      <c r="N9" s="1" t="n">
        <v>5500000</v>
      </c>
      <c r="O9" s="1" t="n">
        <v>1.1e-09</v>
      </c>
      <c r="P9" s="1" t="n">
        <v>4.9e-09</v>
      </c>
      <c r="Q9" s="3" t="n">
        <v>0.49</v>
      </c>
      <c r="R9" s="3">
        <f>M9+(N9*N9*J9*J9*0.000001/(Q9*Q9*0.000001*0.000001*96485*96485*P9))^(1/3)</f>
        <v/>
      </c>
      <c r="S9" s="4">
        <f>100*((R9/(L9*E9) + 1)^-1)</f>
        <v/>
      </c>
      <c r="T9" s="1">
        <f>0.01*H9/G9</f>
        <v/>
      </c>
      <c r="U9" s="3">
        <f>(3.14*96485*96485*Q9*Q9*0.000001*0.000001*O9/(4*J9*J9*0.000001))*((E9 - R9/L9)^2)</f>
        <v/>
      </c>
      <c r="V9" s="3">
        <f>U9/T9</f>
        <v/>
      </c>
    </row>
    <row r="10">
      <c r="A10" t="inlineStr">
        <is>
          <t>5s-c</t>
        </is>
      </c>
      <c r="B10" t="n">
        <v>16</v>
      </c>
      <c r="C10" t="inlineStr">
        <is>
          <t>Nafion</t>
        </is>
      </c>
      <c r="D10" t="inlineStr">
        <is>
          <t>Ar</t>
        </is>
      </c>
      <c r="E10" t="n">
        <v>150</v>
      </c>
      <c r="F10" t="n">
        <v>2</v>
      </c>
      <c r="G10" s="1" t="n">
        <v>900</v>
      </c>
      <c r="H10" t="n">
        <v>5</v>
      </c>
      <c r="I10" t="n">
        <v>1.2074</v>
      </c>
      <c r="J10" t="n">
        <v>25.7728</v>
      </c>
      <c r="K10" s="6" t="n">
        <v>40.57</v>
      </c>
      <c r="L10" s="1" t="n">
        <v>1500000</v>
      </c>
      <c r="M10" s="1" t="n">
        <v>1000</v>
      </c>
      <c r="N10" s="1" t="n">
        <v>5500000</v>
      </c>
      <c r="O10" s="1" t="n">
        <v>1.1e-09</v>
      </c>
      <c r="P10" s="1" t="n">
        <v>4.9e-09</v>
      </c>
      <c r="Q10" s="3" t="n">
        <v>0.49</v>
      </c>
      <c r="R10" s="3">
        <f>M10+(N10*N10*J10*J10*0.000001/(Q10*Q10*0.000001*0.000001*96485*96485*P10))^(1/3)</f>
        <v/>
      </c>
      <c r="S10" s="4">
        <f>100*((R10/(L10*E10) + 1)^-1)</f>
        <v/>
      </c>
      <c r="T10" s="1">
        <f>0.01*H10/G10</f>
        <v/>
      </c>
      <c r="U10" s="3">
        <f>(3.14*96485*96485*Q10*Q10*0.000001*0.000001*O10/(4*J10*J10*0.000001))*((E10 - R10/L10)^2)</f>
        <v/>
      </c>
      <c r="V10" s="3">
        <f>U10/T10</f>
        <v/>
      </c>
    </row>
    <row r="11">
      <c r="A11" t="inlineStr">
        <is>
          <t>5s-a</t>
        </is>
      </c>
      <c r="B11" t="n">
        <v>16</v>
      </c>
      <c r="C11" t="inlineStr">
        <is>
          <t>Nafion</t>
        </is>
      </c>
      <c r="D11" t="inlineStr">
        <is>
          <t>Ar</t>
        </is>
      </c>
      <c r="E11" t="n">
        <v>150</v>
      </c>
      <c r="F11" t="n">
        <v>2</v>
      </c>
      <c r="G11" s="1" t="n">
        <v>900</v>
      </c>
      <c r="H11" t="n">
        <v>5</v>
      </c>
      <c r="I11" t="n">
        <v>1.2074</v>
      </c>
      <c r="J11" t="n">
        <v>25.7728</v>
      </c>
      <c r="K11" s="6" t="n">
        <v>-21.63</v>
      </c>
      <c r="L11" s="1" t="n">
        <v>1500000</v>
      </c>
      <c r="M11" s="1" t="n">
        <v>1000</v>
      </c>
      <c r="N11" s="1" t="n">
        <v>5500000</v>
      </c>
      <c r="O11" s="1" t="n">
        <v>1.1e-09</v>
      </c>
      <c r="P11" s="1" t="n">
        <v>4.9e-09</v>
      </c>
      <c r="Q11" s="3" t="n">
        <v>0.49</v>
      </c>
      <c r="R11" s="3">
        <f>M11+(N11*N11*J11*J11*0.000001/(Q11*Q11*0.000001*0.000001*96485*96485*P11))^(1/3)</f>
        <v/>
      </c>
      <c r="S11" s="4">
        <f>100*((R11/(L11*E11) + 1)^-1)</f>
        <v/>
      </c>
      <c r="T11" s="1">
        <f>0.01*H11/G11</f>
        <v/>
      </c>
      <c r="U11" s="3">
        <f>(3.14*96485*96485*Q11*Q11*0.000001*0.000001*O11/(4*J11*J11*0.000001))*((E11 - R11/L11)^2)</f>
        <v/>
      </c>
      <c r="V11" s="3">
        <f>U11/T11</f>
        <v/>
      </c>
    </row>
    <row r="12">
      <c r="A12" t="inlineStr">
        <is>
          <t>6s-c</t>
        </is>
      </c>
      <c r="B12" t="n">
        <v>20</v>
      </c>
      <c r="C12" t="inlineStr">
        <is>
          <t>Nafion</t>
        </is>
      </c>
      <c r="D12" t="inlineStr">
        <is>
          <t>Ar</t>
        </is>
      </c>
      <c r="E12" t="n">
        <v>50</v>
      </c>
      <c r="F12" t="n">
        <v>2</v>
      </c>
      <c r="G12" s="1" t="n">
        <v>900</v>
      </c>
      <c r="H12" t="n">
        <v>5</v>
      </c>
      <c r="I12" t="n">
        <v>1.2814</v>
      </c>
      <c r="J12" t="n">
        <v>26.8948</v>
      </c>
      <c r="K12" s="6" t="n">
        <v>39.41</v>
      </c>
      <c r="L12" s="1" t="n">
        <v>1500000</v>
      </c>
      <c r="M12" s="1" t="n">
        <v>1000</v>
      </c>
      <c r="N12" s="1" t="n">
        <v>5500000</v>
      </c>
      <c r="O12" s="1" t="n">
        <v>1.1e-09</v>
      </c>
      <c r="P12" s="1" t="n">
        <v>4.9e-09</v>
      </c>
      <c r="Q12" s="3" t="n">
        <v>0.49</v>
      </c>
      <c r="R12" s="3">
        <f>M12+(N12*N12*J12*J12*0.000001/(Q12*Q12*0.000001*0.000001*96485*96485*P12))^(1/3)</f>
        <v/>
      </c>
      <c r="S12" s="4">
        <f>100*((R12/(L12*E12) + 1)^-1)</f>
        <v/>
      </c>
      <c r="T12" s="1">
        <f>0.01*H12/G12</f>
        <v/>
      </c>
      <c r="U12" s="3">
        <f>(3.14*96485*96485*Q12*Q12*0.000001*0.000001*O12/(4*J12*J12*0.000001))*((E12 - R12/L12)^2)</f>
        <v/>
      </c>
      <c r="V12" s="3">
        <f>U12/T12</f>
        <v/>
      </c>
    </row>
    <row r="13">
      <c r="A13" t="inlineStr">
        <is>
          <t>6s-a</t>
        </is>
      </c>
      <c r="B13" t="n">
        <v>20</v>
      </c>
      <c r="C13" t="inlineStr">
        <is>
          <t>Nafion</t>
        </is>
      </c>
      <c r="D13" t="inlineStr">
        <is>
          <t>Ar</t>
        </is>
      </c>
      <c r="E13" t="n">
        <v>50</v>
      </c>
      <c r="F13" t="n">
        <v>2</v>
      </c>
      <c r="G13" s="1" t="n">
        <v>900</v>
      </c>
      <c r="H13" t="n">
        <v>5</v>
      </c>
      <c r="I13" t="n">
        <v>1.2814</v>
      </c>
      <c r="J13" t="n">
        <v>26.8948</v>
      </c>
      <c r="K13" s="6" t="n">
        <v>-2.76</v>
      </c>
      <c r="L13" s="1" t="n">
        <v>1500000</v>
      </c>
      <c r="M13" s="1" t="n">
        <v>1000</v>
      </c>
      <c r="N13" s="1" t="n">
        <v>5500000</v>
      </c>
      <c r="O13" s="1" t="n">
        <v>1.1e-09</v>
      </c>
      <c r="P13" s="1" t="n">
        <v>4.9e-09</v>
      </c>
      <c r="Q13" s="3" t="n">
        <v>0.49</v>
      </c>
      <c r="R13" s="3">
        <f>M13+(N13*N13*J13*J13*0.000001/(Q13*Q13*0.000001*0.000001*96485*96485*P13))^(1/3)</f>
        <v/>
      </c>
      <c r="S13" s="4">
        <f>100*((R13/(L13*E13) + 1)^-1)</f>
        <v/>
      </c>
      <c r="T13" s="1">
        <f>0.01*H13/G13</f>
        <v/>
      </c>
      <c r="U13" s="3">
        <f>(3.14*96485*96485*Q13*Q13*0.000001*0.000001*O13/(4*J13*J13*0.000001))*((E13 - R13/L13)^2)</f>
        <v/>
      </c>
      <c r="V13" s="3">
        <f>U13/T13</f>
        <v/>
      </c>
    </row>
    <row r="14">
      <c r="A14" t="inlineStr">
        <is>
          <t>7s-c</t>
        </is>
      </c>
      <c r="B14" t="n">
        <v>20</v>
      </c>
      <c r="C14" t="inlineStr">
        <is>
          <t>Nafion</t>
        </is>
      </c>
      <c r="D14" t="inlineStr">
        <is>
          <t>He</t>
        </is>
      </c>
      <c r="E14" t="n">
        <v>150</v>
      </c>
      <c r="F14" t="n">
        <v>3</v>
      </c>
      <c r="G14" s="1" t="n">
        <v>900</v>
      </c>
      <c r="H14" t="n">
        <v>5</v>
      </c>
      <c r="I14" t="n">
        <v>1.7899</v>
      </c>
      <c r="J14" t="n">
        <v>40.1291</v>
      </c>
      <c r="K14" s="7" t="n">
        <v>83.45</v>
      </c>
      <c r="L14" s="1" t="n">
        <v>1500000</v>
      </c>
      <c r="M14" s="1" t="n">
        <v>1000</v>
      </c>
      <c r="N14" s="1" t="n">
        <v>5500000</v>
      </c>
      <c r="O14" s="1" t="n">
        <v>1.1e-09</v>
      </c>
      <c r="P14" s="1" t="n">
        <v>4.9e-09</v>
      </c>
      <c r="Q14" s="3" t="n">
        <v>0.49</v>
      </c>
      <c r="R14" s="3">
        <f>M14+(N14*N14*J14*J14*0.000001/(Q14*Q14*0.000001*0.000001*96485*96485*P14))^(1/3)</f>
        <v/>
      </c>
      <c r="S14" s="4">
        <f>100*((R14/(L14*E14) + 1)^-1)</f>
        <v/>
      </c>
      <c r="T14" s="1">
        <f>0.01*H14/G14</f>
        <v/>
      </c>
      <c r="U14" s="3">
        <f>(3.14*96485*96485*Q14*Q14*0.000001*0.000001*O14/(4*J14*J14*0.000001))*((E14 - R14/L14)^2)</f>
        <v/>
      </c>
      <c r="V14" s="3">
        <f>U14/T14</f>
        <v/>
      </c>
    </row>
    <row r="15">
      <c r="A15" t="inlineStr">
        <is>
          <t>7s-a</t>
        </is>
      </c>
      <c r="B15" t="n">
        <v>20</v>
      </c>
      <c r="C15" t="inlineStr">
        <is>
          <t>Nafion</t>
        </is>
      </c>
      <c r="D15" t="inlineStr">
        <is>
          <t>He</t>
        </is>
      </c>
      <c r="E15" t="n">
        <v>150</v>
      </c>
      <c r="F15" t="n">
        <v>3</v>
      </c>
      <c r="G15" s="1" t="n">
        <v>900</v>
      </c>
      <c r="H15" t="n">
        <v>5</v>
      </c>
      <c r="I15" t="n">
        <v>1.7899</v>
      </c>
      <c r="J15" t="n">
        <v>40.1291</v>
      </c>
      <c r="K15" s="7" t="n">
        <v>-16.18</v>
      </c>
      <c r="L15" s="1" t="n">
        <v>1500000</v>
      </c>
      <c r="M15" s="1" t="n">
        <v>1000</v>
      </c>
      <c r="N15" s="1" t="n">
        <v>5500000</v>
      </c>
      <c r="O15" s="1" t="n">
        <v>1.1e-09</v>
      </c>
      <c r="P15" s="1" t="n">
        <v>4.9e-09</v>
      </c>
      <c r="Q15" s="3" t="n">
        <v>0.49</v>
      </c>
      <c r="R15" s="3">
        <f>M15+(N15*N15*J15*J15*0.000001/(Q15*Q15*0.000001*0.000001*96485*96485*P15))^(1/3)</f>
        <v/>
      </c>
      <c r="S15" s="4">
        <f>100*((R15/(L15*E15) + 1)^-1)</f>
        <v/>
      </c>
      <c r="T15" s="1">
        <f>0.01*H15/G15</f>
        <v/>
      </c>
      <c r="U15" s="3">
        <f>(3.14*96485*96485*Q15*Q15*0.000001*0.000001*O15/(4*J15*J15*0.000001))*((E15 - R15/L15)^2)</f>
        <v/>
      </c>
      <c r="V15" s="3">
        <f>U15/T15</f>
        <v/>
      </c>
    </row>
    <row r="16">
      <c r="A16" t="inlineStr">
        <is>
          <t>8s-c</t>
        </is>
      </c>
      <c r="B16" t="n">
        <v>20</v>
      </c>
      <c r="C16" t="inlineStr">
        <is>
          <t>Nafion</t>
        </is>
      </c>
      <c r="D16" t="inlineStr">
        <is>
          <t>He</t>
        </is>
      </c>
      <c r="E16" t="n">
        <v>50</v>
      </c>
      <c r="F16" t="n">
        <v>3</v>
      </c>
      <c r="G16" s="1" t="n">
        <v>900</v>
      </c>
      <c r="H16" t="n">
        <v>5</v>
      </c>
      <c r="I16" t="n">
        <v>1.8162</v>
      </c>
      <c r="J16" t="n">
        <v>40.4275</v>
      </c>
      <c r="K16" s="7" t="n">
        <v>47.31</v>
      </c>
      <c r="L16" s="1" t="n">
        <v>1500000</v>
      </c>
      <c r="M16" s="1" t="n">
        <v>1000</v>
      </c>
      <c r="N16" s="1" t="n">
        <v>5500000</v>
      </c>
      <c r="O16" s="1" t="n">
        <v>1.1e-09</v>
      </c>
      <c r="P16" s="1" t="n">
        <v>4.9e-09</v>
      </c>
      <c r="Q16" s="3" t="n">
        <v>0.49</v>
      </c>
      <c r="R16" s="3">
        <f>M16+(N16*N16*J16*J16*0.000001/(Q16*Q16*0.000001*0.000001*96485*96485*P16))^(1/3)</f>
        <v/>
      </c>
      <c r="S16" s="4">
        <f>100*((R16/(L16*E16) + 1)^-1)</f>
        <v/>
      </c>
      <c r="T16" s="1">
        <f>0.01*H16/G16</f>
        <v/>
      </c>
      <c r="U16" s="3">
        <f>(3.14*96485*96485*Q16*Q16*0.000001*0.000001*O16/(4*J16*J16*0.000001))*((E16 - R16/L16)^2)</f>
        <v/>
      </c>
      <c r="V16" s="3">
        <f>U16/T16</f>
        <v/>
      </c>
    </row>
    <row r="17">
      <c r="A17" t="inlineStr">
        <is>
          <t>8s-a</t>
        </is>
      </c>
      <c r="B17" t="n">
        <v>20</v>
      </c>
      <c r="C17" t="inlineStr">
        <is>
          <t>Nafion</t>
        </is>
      </c>
      <c r="D17" t="inlineStr">
        <is>
          <t>He</t>
        </is>
      </c>
      <c r="E17" t="n">
        <v>50</v>
      </c>
      <c r="F17" t="n">
        <v>3</v>
      </c>
      <c r="G17" s="1" t="n">
        <v>900</v>
      </c>
      <c r="H17" t="n">
        <v>5</v>
      </c>
      <c r="I17" t="n">
        <v>1.8162</v>
      </c>
      <c r="J17" t="n">
        <v>40.4275</v>
      </c>
      <c r="K17" s="7" t="n">
        <v>-9.609999999999999</v>
      </c>
      <c r="L17" s="1" t="n">
        <v>1500000</v>
      </c>
      <c r="M17" s="1" t="n">
        <v>1000</v>
      </c>
      <c r="N17" s="1" t="n">
        <v>5500000</v>
      </c>
      <c r="O17" s="1" t="n">
        <v>1.1e-09</v>
      </c>
      <c r="P17" s="1" t="n">
        <v>4.9e-09</v>
      </c>
      <c r="Q17" s="3" t="n">
        <v>0.49</v>
      </c>
      <c r="R17" s="3">
        <f>M17+(N17*N17*J17*J17*0.000001/(Q17*Q17*0.000001*0.000001*96485*96485*P17))^(1/3)</f>
        <v/>
      </c>
      <c r="S17" s="4">
        <f>100*((R17/(L17*E17) + 1)^-1)</f>
        <v/>
      </c>
      <c r="T17" s="1">
        <f>0.01*H17/G17</f>
        <v/>
      </c>
      <c r="U17" s="3">
        <f>(3.14*96485*96485*Q17*Q17*0.000001*0.000001*O17/(4*J17*J17*0.000001))*((E17 - R17/L17)^2)</f>
        <v/>
      </c>
      <c r="V17" s="3">
        <f>U17/T17</f>
        <v/>
      </c>
    </row>
    <row r="18">
      <c r="A18" t="inlineStr">
        <is>
          <t>9s-c</t>
        </is>
      </c>
      <c r="B18" t="n">
        <v>20</v>
      </c>
      <c r="C18" t="inlineStr">
        <is>
          <t>Nafion</t>
        </is>
      </c>
      <c r="D18" t="inlineStr">
        <is>
          <t>He</t>
        </is>
      </c>
      <c r="E18" t="n">
        <v>50</v>
      </c>
      <c r="F18" t="n">
        <v>3</v>
      </c>
      <c r="G18" s="1" t="n">
        <v>3000</v>
      </c>
      <c r="H18" t="n">
        <v>5</v>
      </c>
      <c r="I18" t="n">
        <v>0.8838</v>
      </c>
      <c r="J18" t="n">
        <v>22.1551</v>
      </c>
      <c r="K18" s="7" t="n">
        <v>76.89</v>
      </c>
      <c r="L18" s="1" t="n">
        <v>1500000</v>
      </c>
      <c r="M18" s="1" t="n">
        <v>1000</v>
      </c>
      <c r="N18" s="1" t="n">
        <v>5500000</v>
      </c>
      <c r="O18" s="1" t="n">
        <v>1.1e-09</v>
      </c>
      <c r="P18" s="1" t="n">
        <v>4.9e-09</v>
      </c>
      <c r="Q18" s="3" t="n">
        <v>0.49</v>
      </c>
      <c r="R18" s="3">
        <f>M18+(N18*N18*J18*J18*0.000001/(Q18*Q18*0.000001*0.000001*96485*96485*P18))^(1/3)</f>
        <v/>
      </c>
      <c r="S18" s="4">
        <f>100*((R18/(L18*E18) + 1)^-1)</f>
        <v/>
      </c>
      <c r="T18" s="1">
        <f>0.01*H18/G18</f>
        <v/>
      </c>
      <c r="U18" s="3">
        <f>(3.14*96485*96485*Q18*Q18*0.000001*0.000001*O18/(4*J18*J18*0.000001))*((E18 - R18/L18)^2)</f>
        <v/>
      </c>
      <c r="V18" s="3">
        <f>U18/T18</f>
        <v/>
      </c>
    </row>
    <row r="19">
      <c r="A19" t="inlineStr">
        <is>
          <t>9s-a</t>
        </is>
      </c>
      <c r="B19" t="n">
        <v>20</v>
      </c>
      <c r="C19" t="inlineStr">
        <is>
          <t>Nafion</t>
        </is>
      </c>
      <c r="D19" t="inlineStr">
        <is>
          <t>He</t>
        </is>
      </c>
      <c r="E19" t="n">
        <v>50</v>
      </c>
      <c r="F19" t="n">
        <v>3</v>
      </c>
      <c r="G19" s="1" t="n">
        <v>3000</v>
      </c>
      <c r="H19" t="n">
        <v>5</v>
      </c>
      <c r="I19" t="n">
        <v>0.8838</v>
      </c>
      <c r="J19" t="n">
        <v>22.1551</v>
      </c>
      <c r="K19" s="7" t="n">
        <v>-18.01</v>
      </c>
      <c r="L19" s="1" t="n">
        <v>1500000</v>
      </c>
      <c r="M19" s="1" t="n">
        <v>1000</v>
      </c>
      <c r="N19" s="1" t="n">
        <v>5500000</v>
      </c>
      <c r="O19" s="1" t="n">
        <v>1.1e-09</v>
      </c>
      <c r="P19" s="1" t="n">
        <v>4.9e-09</v>
      </c>
      <c r="Q19" s="3" t="n">
        <v>0.49</v>
      </c>
      <c r="R19" s="3">
        <f>M19+(N19*N19*J19*J19*0.000001/(Q19*Q19*0.000001*0.000001*96485*96485*P19))^(1/3)</f>
        <v/>
      </c>
      <c r="S19" s="4">
        <f>100*((R19/(L19*E19) + 1)^-1)</f>
        <v/>
      </c>
      <c r="T19" s="1">
        <f>0.01*H19/G19</f>
        <v/>
      </c>
      <c r="U19" s="3">
        <f>(3.14*96485*96485*Q19*Q19*0.000001*0.000001*O19/(4*J19*J19*0.000001))*((E19 - R19/L19)^2)</f>
        <v/>
      </c>
      <c r="V19" s="3">
        <f>U19/T19</f>
        <v/>
      </c>
    </row>
    <row r="20">
      <c r="A20" t="inlineStr">
        <is>
          <t>10s-c</t>
        </is>
      </c>
      <c r="B20" t="n">
        <v>20</v>
      </c>
      <c r="C20" t="inlineStr">
        <is>
          <t>Nafion</t>
        </is>
      </c>
      <c r="D20" t="inlineStr">
        <is>
          <t>He</t>
        </is>
      </c>
      <c r="E20" t="n">
        <v>150</v>
      </c>
      <c r="F20" t="n">
        <v>3</v>
      </c>
      <c r="G20" s="1" t="n">
        <v>3000</v>
      </c>
      <c r="H20" t="n">
        <v>5</v>
      </c>
      <c r="I20" t="n">
        <v>0.9191</v>
      </c>
      <c r="J20" t="n">
        <v>22.4051</v>
      </c>
      <c r="K20" s="7" t="n">
        <v>120.71</v>
      </c>
      <c r="L20" s="1" t="n">
        <v>1500000</v>
      </c>
      <c r="M20" s="1" t="n">
        <v>1000</v>
      </c>
      <c r="N20" s="1" t="n">
        <v>5500000</v>
      </c>
      <c r="O20" s="1" t="n">
        <v>1.1e-09</v>
      </c>
      <c r="P20" s="1" t="n">
        <v>4.9e-09</v>
      </c>
      <c r="Q20" s="3" t="n">
        <v>0.49</v>
      </c>
      <c r="R20" s="3">
        <f>M20+(N20*N20*J20*J20*0.000001/(Q20*Q20*0.000001*0.000001*96485*96485*P20))^(1/3)</f>
        <v/>
      </c>
      <c r="S20" s="4">
        <f>100*((R20/(L20*E20) + 1)^-1)</f>
        <v/>
      </c>
      <c r="T20" s="1">
        <f>0.01*H20/G20</f>
        <v/>
      </c>
      <c r="U20" s="3">
        <f>(3.14*96485*96485*Q20*Q20*0.000001*0.000001*O20/(4*J20*J20*0.000001))*((E20 - R20/L20)^2)</f>
        <v/>
      </c>
      <c r="V20" s="3">
        <f>U20/T20</f>
        <v/>
      </c>
    </row>
    <row r="21">
      <c r="A21" t="inlineStr">
        <is>
          <t>10s-a</t>
        </is>
      </c>
      <c r="B21" t="n">
        <v>20</v>
      </c>
      <c r="C21" t="inlineStr">
        <is>
          <t>Nafion</t>
        </is>
      </c>
      <c r="D21" t="inlineStr">
        <is>
          <t>He</t>
        </is>
      </c>
      <c r="E21" t="n">
        <v>150</v>
      </c>
      <c r="F21" t="n">
        <v>3</v>
      </c>
      <c r="G21" s="1" t="n">
        <v>3000</v>
      </c>
      <c r="H21" t="n">
        <v>5</v>
      </c>
      <c r="I21" t="n">
        <v>0.9191</v>
      </c>
      <c r="J21" t="n">
        <v>22.4051</v>
      </c>
      <c r="K21" s="7" t="n">
        <v>-36.49</v>
      </c>
      <c r="L21" s="1" t="n">
        <v>1500000</v>
      </c>
      <c r="M21" s="1" t="n">
        <v>1000</v>
      </c>
      <c r="N21" s="1" t="n">
        <v>5500000</v>
      </c>
      <c r="O21" s="1" t="n">
        <v>1.1e-09</v>
      </c>
      <c r="P21" s="1" t="n">
        <v>4.9e-09</v>
      </c>
      <c r="Q21" s="3" t="n">
        <v>0.49</v>
      </c>
      <c r="R21" s="3">
        <f>M21+(N21*N21*J21*J21*0.000001/(Q21*Q21*0.000001*0.000001*96485*96485*P21))^(1/3)</f>
        <v/>
      </c>
      <c r="S21" s="4">
        <f>100*((R21/(L21*E21) + 1)^-1)</f>
        <v/>
      </c>
      <c r="T21" s="1">
        <f>0.01*H21/G21</f>
        <v/>
      </c>
      <c r="U21" s="3">
        <f>(3.14*96485*96485*Q21*Q21*0.000001*0.000001*O21/(4*J21*J21*0.000001))*((E21 - R21/L21)^2)</f>
        <v/>
      </c>
      <c r="V21" s="3">
        <f>U21/T21</f>
        <v/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Peyres, Sean</dc:creator>
  <dcterms:created xsi:type="dcterms:W3CDTF">2026-05-30T15:49:43Z</dcterms:created>
  <dcterms:modified xsi:type="dcterms:W3CDTF">2026-09-23T01:48:31Z</dcterms:modified>
  <cp:lastModifiedBy>Peyres, Sean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0x01010004B83DD69749FC4EA7FC7BFE805281F8</vt:lpwstr>
  </property>
</Properties>
</file>